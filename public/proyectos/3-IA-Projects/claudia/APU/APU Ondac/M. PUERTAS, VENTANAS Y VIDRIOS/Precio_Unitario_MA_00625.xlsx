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<sst xmlns="http://schemas.openxmlformats.org/spreadsheetml/2006/main" uniqueCount="33">
  <si>
    <t>PÁGINA</t>
  </si>
  <si>
    <t>: 1</t>
  </si>
  <si>
    <t>FECHA PPTO</t>
  </si>
  <si>
    <t>: 19/05/2019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</si>
  <si>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</si>
  <si>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</si>
  <si>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</si>
  <si>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</si>
  <si>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</si>
  <si>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</si>
  <si>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</si>
  <si>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</si>
  <si>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</si>
  <si>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</si>
  <si>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</si>
  <si>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</si>
  <si>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</si>
  <si>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</si>
  <si>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</si>
  <si>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PUERTA VIDRIADA PINO OREGON 80x200</t>
  </si>
  <si>
    <t>uni</t>
  </si>
  <si>
    <t>PUERTA ITALIANA NUDO 200</t>
  </si>
  <si>
    <t>c/u</t>
  </si>
  <si>
    <t>$</t>
  </si>
  <si>
    <t>SET MARCO PTA PINO 3 PZAS 30X90X5,4MM</t>
  </si>
  <si>
    <t>BISAGRA LINEA 240 BR C/PERILLA 3 X 3 "</t>
  </si>
  <si>
    <t>TARUGO NYLON M-8 100UNI</t>
  </si>
  <si>
    <t>TORNILLO MADERA BRONCEADO 10X3 C144</t>
  </si>
  <si>
    <t>CARPINTERO + 1 AYUD</t>
  </si>
  <si>
    <t>dia</t>
  </si>
  <si>
    <t>LEYES SOCIALES (O.E.)</t>
  </si>
  <si>
    <t>6</t>
  </si>
  <si>
    <t>%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</si>
</sst>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ROUND(P23*AB31,0)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1</v>
      </c>
      <c r="S24" s="20" t="s">
        <v>22</v>
      </c>
      <c r="U24" s="20" t="s">
        <v>23</v>
      </c>
      <c r="W24" s="24" t="n">
        <v>58815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24</v>
      </c>
      <c r="N25" s="19" t="s"/>
      <c r="P25" s="23" t="n">
        <v>1</v>
      </c>
      <c r="S25" s="20" t="s">
        <v>20</v>
      </c>
      <c r="U25" s="20" t="s">
        <v>23</v>
      </c>
      <c r="W25" s="24" t="n">
        <v>9655</v>
      </c>
      <c r="AB25" s="24">
        <f>ROUND(P25*W25,0)</f>
        <v/>
      </c>
    </row>
    <row customHeight="1" ht="13.35" r="26" s="5" spans="1:35">
      <c r="C26" s="19" t="n"/>
      <c r="G26" s="20" t="n"/>
      <c r="H26" s="20" t="n">
        <v>3</v>
      </c>
      <c r="J26" s="21" t="s">
        <v>25</v>
      </c>
      <c r="N26" s="19" t="s"/>
      <c r="P26" s="23" t="n">
        <v>3</v>
      </c>
      <c r="S26" s="20" t="s">
        <v>20</v>
      </c>
      <c r="U26" s="20" t="s">
        <v>23</v>
      </c>
      <c r="W26" s="24" t="n">
        <v>3269</v>
      </c>
      <c r="AB26" s="24">
        <f>ROUND(P26*W26,0)</f>
        <v/>
      </c>
    </row>
    <row customHeight="1" ht="13.35" r="27" s="5" spans="1:35">
      <c r="C27" s="19" t="n"/>
      <c r="G27" s="20" t="n"/>
      <c r="H27" s="20" t="n">
        <v>4</v>
      </c>
      <c r="J27" s="21" t="s">
        <v>26</v>
      </c>
      <c r="N27" s="19" t="s"/>
      <c r="P27" s="23" t="n">
        <v>0.1</v>
      </c>
      <c r="S27" s="20" t="s">
        <v>20</v>
      </c>
      <c r="U27" s="20" t="s">
        <v>23</v>
      </c>
      <c r="W27" s="24" t="n">
        <v>1756</v>
      </c>
      <c r="AB27" s="24">
        <f>ROUND(P27*W27,0)</f>
        <v/>
      </c>
    </row>
    <row customHeight="1" ht="13.35" r="28" s="5" spans="1:35">
      <c r="C28" s="19" t="n"/>
      <c r="G28" s="20" t="n"/>
      <c r="H28" s="20" t="n">
        <v>5</v>
      </c>
      <c r="J28" s="21" t="s">
        <v>27</v>
      </c>
      <c r="N28" s="19" t="s"/>
      <c r="P28" s="23" t="n">
        <v>0.07000000000000001</v>
      </c>
      <c r="S28" s="20" t="s">
        <v>20</v>
      </c>
      <c r="U28" s="20" t="s">
        <v>23</v>
      </c>
      <c r="W28" s="24" t="n">
        <v>6162</v>
      </c>
      <c r="AB28" s="24">
        <f>ROUND(P28*W28,0)</f>
        <v/>
      </c>
    </row>
    <row customHeight="1" ht="13.35" r="29" s="5" spans="1:35">
      <c r="C29" s="19" t="n"/>
      <c r="G29" s="20" t="n"/>
      <c r="H29" s="20" t="n">
        <v>6</v>
      </c>
      <c r="J29" s="21" t="s">
        <v>28</v>
      </c>
      <c r="N29" s="19" t="s"/>
      <c r="P29" s="23" t="n">
        <v>0.2</v>
      </c>
      <c r="S29" s="20" t="s">
        <v>29</v>
      </c>
      <c r="U29" s="20" t="s">
        <v>23</v>
      </c>
      <c r="W29" s="24" t="n">
        <v>45600</v>
      </c>
      <c r="AB29" s="24">
        <f>ROUND(P29*W29,0)</f>
        <v/>
      </c>
    </row>
    <row customHeight="1" ht="13.35" r="30" s="5" spans="1:35">
      <c r="C30" s="19" t="n"/>
      <c r="G30" s="20" t="n"/>
      <c r="H30" s="20" t="n">
        <v>7</v>
      </c>
      <c r="J30" s="21" t="s">
        <v>30</v>
      </c>
      <c r="N30" s="19" t="s">
        <v>31</v>
      </c>
      <c r="P30" s="23" t="n">
        <v>29</v>
      </c>
      <c r="S30" s="20" t="s">
        <v>32</v>
      </c>
      <c r="U30" s="20" t="s">
        <v>23</v>
      </c>
      <c r="W30" s="24" t="s"/>
      <c r="AB30" s="24">
        <f>ROUND(P30*(AB29)/100,0)</f>
        <v/>
      </c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5" t="s">
        <v>23</v>
      </c>
      <c r="W31" s="20" t="n"/>
      <c r="AB31" s="26">
        <f>SUM(AB24:AB30)</f>
        <v/>
      </c>
      <c r="AC31" s="27" t="n"/>
      <c r="AD31" s="27" t="n"/>
      <c r="AE31" s="27" t="n"/>
      <c r="AF31" s="27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