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<sst xmlns="http://schemas.openxmlformats.org/spreadsheetml/2006/main" uniqueCount="41">
  <si>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</si>
  <si>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</si>
  <si>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</si>
  <si>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</si>
  <si>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</si>
  <si>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</si>
  <si>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</si>
  <si>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</si>
  <si>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</si>
  <si>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</si>
  <si>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</si>
  <si>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</si>
  <si>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</si>
  <si>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</si>
  <si>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</si>
  <si>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</si>
  <si>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</si>
  <si>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</si>
  <si>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</si>
  <si>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PLACAROL C/MARCO FIERRO</t>
  </si>
  <si>
    <t>m2</t>
  </si>
  <si>
    <t>40 X 20 X 1.5 MM X 6 MT TUBO GALVANIZADO RECTANGULAR</t>
  </si>
  <si>
    <t>c/u</t>
  </si>
  <si>
    <t>$</t>
  </si>
  <si>
    <t>ELECTRODO 230 S1/8 1KG  INDURA</t>
  </si>
  <si>
    <t>uni</t>
  </si>
  <si>
    <t>TARUGO 5MM 100UNI</t>
  </si>
  <si>
    <t>PUERTA TERCIADO PINO 200 CM</t>
  </si>
  <si>
    <t xml:space="preserve">BISAGRA PASADOR SUELTO 3 1/2 X 3 1/2 PULGADAS BRONCEADA </t>
  </si>
  <si>
    <t>CEMENTO POLPAICO 25 KG</t>
  </si>
  <si>
    <t>ARENA C/FLETE 15 km</t>
  </si>
  <si>
    <t>m3</t>
  </si>
  <si>
    <t>TORNILLO P/MADERA 7X1P T-1 144UNI</t>
  </si>
  <si>
    <t>JORNALERO</t>
  </si>
  <si>
    <t>dia</t>
  </si>
  <si>
    <t>ALBAÑIL</t>
  </si>
  <si>
    <t>CERRAJERO ACERO</t>
  </si>
  <si>
    <t>CARPINTERO + 1 AYUD</t>
  </si>
  <si>
    <t>LEYES SOCIALES (O.E.)</t>
  </si>
  <si>
    <t>9,10,11,12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</si>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</sst>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0.85</v>
      </c>
      <c r="S24" s="20" t="s">
        <v>22</v>
      </c>
      <c r="U24" s="20" t="s">
        <v>23</v>
      </c>
      <c r="W24" s="24" t="n">
        <v>7361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17353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0.045</v>
      </c>
      <c r="S26" s="20" t="s">
        <v>25</v>
      </c>
      <c r="U26" s="20" t="s">
        <v>23</v>
      </c>
      <c r="W26" s="24" t="n">
        <v>1672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0.714</v>
      </c>
      <c r="S27" s="20" t="s">
        <v>22</v>
      </c>
      <c r="U27" s="20" t="s">
        <v>23</v>
      </c>
      <c r="W27" s="24" t="n">
        <v>9487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1.88</v>
      </c>
      <c r="S28" s="20" t="s">
        <v>22</v>
      </c>
      <c r="U28" s="20" t="s">
        <v>23</v>
      </c>
      <c r="W28" s="24" t="n">
        <v>1286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0.595</v>
      </c>
      <c r="S29" s="20" t="s">
        <v>22</v>
      </c>
      <c r="U29" s="20" t="s">
        <v>23</v>
      </c>
      <c r="W29" s="24" t="n">
        <v>2933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/>
      <c r="P30" s="23" t="n">
        <v>0.05</v>
      </c>
      <c r="S30" s="20" t="s">
        <v>31</v>
      </c>
      <c r="U30" s="20" t="s">
        <v>23</v>
      </c>
      <c r="W30" s="24" t="n">
        <v>16000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/>
      <c r="P31" s="23" t="n">
        <v>0.083</v>
      </c>
      <c r="S31" s="20" t="s">
        <v>25</v>
      </c>
      <c r="U31" s="20" t="s">
        <v>23</v>
      </c>
      <c r="W31" s="24" t="n">
        <v>252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33</v>
      </c>
      <c r="N32" s="19" t="s"/>
      <c r="P32" s="23" t="n">
        <v>0.05</v>
      </c>
      <c r="S32" s="20" t="s">
        <v>34</v>
      </c>
      <c r="U32" s="20" t="s">
        <v>23</v>
      </c>
      <c r="W32" s="24" t="n">
        <v>13775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35</v>
      </c>
      <c r="N33" s="19" t="s"/>
      <c r="P33" s="23" t="n">
        <v>0.1</v>
      </c>
      <c r="S33" s="20" t="s">
        <v>34</v>
      </c>
      <c r="U33" s="20" t="s">
        <v>23</v>
      </c>
      <c r="W33" s="24" t="n">
        <v>28500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36</v>
      </c>
      <c r="N34" s="19" t="s"/>
      <c r="P34" s="23" t="n">
        <v>0.06</v>
      </c>
      <c r="S34" s="20" t="s">
        <v>34</v>
      </c>
      <c r="U34" s="20" t="s">
        <v>23</v>
      </c>
      <c r="W34" s="24" t="n">
        <v>26600</v>
      </c>
      <c r="AB34" s="24">
        <f>ROUND(P34*W34,0)</f>
        <v/>
      </c>
    </row>
    <row customHeight="1" ht="13.35" r="35" s="5" spans="1:35">
      <c r="C35" s="19" t="n"/>
      <c r="G35" s="20" t="n"/>
      <c r="H35" s="20" t="n">
        <v>12</v>
      </c>
      <c r="J35" s="21" t="s">
        <v>37</v>
      </c>
      <c r="N35" s="19" t="s"/>
      <c r="P35" s="23" t="n">
        <v>0.1</v>
      </c>
      <c r="S35" s="20" t="s">
        <v>34</v>
      </c>
      <c r="U35" s="20" t="s">
        <v>23</v>
      </c>
      <c r="W35" s="24" t="n">
        <v>45600</v>
      </c>
      <c r="AB35" s="24">
        <f>ROUND(P35*W35,0)</f>
        <v/>
      </c>
    </row>
    <row customHeight="1" ht="13.35" r="36" s="5" spans="1:35">
      <c r="C36" s="19" t="n"/>
      <c r="G36" s="20" t="n"/>
      <c r="H36" s="20" t="n">
        <v>13</v>
      </c>
      <c r="J36" s="21" t="s">
        <v>38</v>
      </c>
      <c r="N36" s="19" t="s">
        <v>39</v>
      </c>
      <c r="P36" s="23" t="n">
        <v>29</v>
      </c>
      <c r="S36" s="20" t="s">
        <v>40</v>
      </c>
      <c r="U36" s="20" t="s">
        <v>23</v>
      </c>
      <c r="W36" s="24" t="s"/>
      <c r="AB36" s="24">
        <f>ROUND(P36*(AB32+AB33+AB34+AB35)/100,0)</f>
        <v/>
      </c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5" t="s">
        <v>23</v>
      </c>
      <c r="W37" s="20" t="n"/>
      <c r="AB37" s="26">
        <f>SUM(AB24:AB36)</f>
        <v/>
      </c>
      <c r="AC37" s="27" t="n"/>
      <c r="AD37" s="27" t="n"/>
      <c r="AE37" s="27" t="n"/>
      <c r="AF37" s="27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