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<sst xmlns="http://schemas.openxmlformats.org/spreadsheetml/2006/main" uniqueCount="35">
  <si>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</si>
  <si>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</si>
  <si>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</si>
  <si>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</si>
  <si>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</si>
  <si>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</si>
  <si>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</si>
  <si>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</si>
  <si>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</si>
  <si>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</si>
  <si>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</si>
  <si>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</si>
  <si>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</si>
  <si>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</si>
  <si>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</si>
  <si>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</si>
  <si>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</si>
  <si>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</si>
  <si>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</si>
  <si>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TABIQUE (2 PL 10 MM) 2,4  Menor  h  Menor  3 MTS MONTANTE A 40 CMS</t>
  </si>
  <si>
    <t>m2</t>
  </si>
  <si>
    <t>VOLCANITA 10mm 2,4X1,20</t>
  </si>
  <si>
    <t>$</t>
  </si>
  <si>
    <t>TORNILLO AUTOPERFORANTE 6X1'</t>
  </si>
  <si>
    <t>uni</t>
  </si>
  <si>
    <t>CANAL A-2 61X20X0,5 mm</t>
  </si>
  <si>
    <t>ml</t>
  </si>
  <si>
    <t>MONTANTE MET 60X40X0,5mm</t>
  </si>
  <si>
    <t>MASILLA BASE ROMERAL 25 KG ROMERAL</t>
  </si>
  <si>
    <t>c/u</t>
  </si>
  <si>
    <t>CLAVO HILTI X-DW 27 THP</t>
  </si>
  <si>
    <t>FULMINANTE VERDE CALIBRE 22</t>
  </si>
  <si>
    <t>cie</t>
  </si>
  <si>
    <t>SUBCONTRATO TABIQUERIA VOLCOMETAL 2 PL</t>
  </si>
  <si>
    <t>SUBCONTRATO HUINCHA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</si>
</sst>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ROUND(P23*AB33,0)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2.2</v>
      </c>
      <c r="S24" s="20" t="s">
        <v>20</v>
      </c>
      <c r="U24" s="20" t="s">
        <v>22</v>
      </c>
      <c r="W24" s="24" t="n">
        <v>1740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23</v>
      </c>
      <c r="N25" s="19" t="s"/>
      <c r="P25" s="23" t="n">
        <v>24</v>
      </c>
      <c r="S25" s="20" t="s">
        <v>24</v>
      </c>
      <c r="U25" s="20" t="s">
        <v>22</v>
      </c>
      <c r="W25" s="24" t="n">
        <v>8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0.667</v>
      </c>
      <c r="S26" s="20" t="s">
        <v>26</v>
      </c>
      <c r="U26" s="20" t="s">
        <v>22</v>
      </c>
      <c r="W26" s="24" t="n">
        <v>300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/>
      <c r="P27" s="23" t="n">
        <v>2.667</v>
      </c>
      <c r="S27" s="20" t="s">
        <v>26</v>
      </c>
      <c r="U27" s="20" t="s">
        <v>22</v>
      </c>
      <c r="W27" s="24" t="n">
        <v>1150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28</v>
      </c>
      <c r="N28" s="19" t="s"/>
      <c r="P28" s="23" t="n">
        <v>0.08400000000000001</v>
      </c>
      <c r="S28" s="20" t="s">
        <v>29</v>
      </c>
      <c r="U28" s="20" t="s">
        <v>22</v>
      </c>
      <c r="W28" s="24" t="n">
        <v>12933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30</v>
      </c>
      <c r="N29" s="19" t="s"/>
      <c r="P29" s="23" t="n">
        <v>1.5</v>
      </c>
      <c r="S29" s="20" t="s">
        <v>24</v>
      </c>
      <c r="U29" s="20" t="s">
        <v>22</v>
      </c>
      <c r="W29" s="24" t="n">
        <v>35</v>
      </c>
      <c r="AB29" s="24">
        <f>ROUND(P29*W29,0)</f>
        <v/>
      </c>
    </row>
    <row customHeight="1" ht="13.35" r="30" s="5" spans="1:35">
      <c r="C30" s="19" t="n"/>
      <c r="G30" s="20" t="n"/>
      <c r="H30" s="20" t="n">
        <v>7</v>
      </c>
      <c r="J30" s="21" t="s">
        <v>31</v>
      </c>
      <c r="N30" s="19" t="s"/>
      <c r="P30" s="23" t="n">
        <v>0.015</v>
      </c>
      <c r="S30" s="20" t="s">
        <v>32</v>
      </c>
      <c r="U30" s="20" t="s">
        <v>22</v>
      </c>
      <c r="W30" s="24" t="n">
        <v>4500</v>
      </c>
      <c r="AB30" s="24">
        <f>ROUND(P30*W30,0)</f>
        <v/>
      </c>
    </row>
    <row customHeight="1" ht="13.35" r="31" s="5" spans="1:35">
      <c r="C31" s="19" t="n"/>
      <c r="G31" s="20" t="n"/>
      <c r="H31" s="20" t="n">
        <v>8</v>
      </c>
      <c r="J31" s="21" t="s">
        <v>33</v>
      </c>
      <c r="N31" s="19" t="s"/>
      <c r="P31" s="23" t="n">
        <v>1</v>
      </c>
      <c r="S31" s="20" t="s">
        <v>20</v>
      </c>
      <c r="U31" s="20" t="s">
        <v>22</v>
      </c>
      <c r="W31" s="24" t="n">
        <v>7500</v>
      </c>
      <c r="AB31" s="24">
        <f>ROUND(P31*W31,0)</f>
        <v/>
      </c>
    </row>
    <row customHeight="1" ht="13.35" r="32" s="5" spans="1:35">
      <c r="C32" s="19" t="n"/>
      <c r="G32" s="20" t="n"/>
      <c r="H32" s="20" t="n">
        <v>9</v>
      </c>
      <c r="J32" s="21" t="s">
        <v>34</v>
      </c>
      <c r="N32" s="19" t="s"/>
      <c r="P32" s="23" t="n">
        <v>1</v>
      </c>
      <c r="S32" s="20" t="s">
        <v>26</v>
      </c>
      <c r="U32" s="20" t="s">
        <v>22</v>
      </c>
      <c r="W32" s="24" t="n">
        <v>900</v>
      </c>
      <c r="AB32" s="24">
        <f>ROUND(P32*W32,0)</f>
        <v/>
      </c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5" t="s">
        <v>22</v>
      </c>
      <c r="W33" s="20" t="n"/>
      <c r="AB33" s="26">
        <f>SUM(AB24:AB32)</f>
        <v/>
      </c>
      <c r="AC33" s="27" t="n"/>
      <c r="AD33" s="27" t="n"/>
      <c r="AE33" s="27" t="n"/>
      <c r="AF33" s="27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