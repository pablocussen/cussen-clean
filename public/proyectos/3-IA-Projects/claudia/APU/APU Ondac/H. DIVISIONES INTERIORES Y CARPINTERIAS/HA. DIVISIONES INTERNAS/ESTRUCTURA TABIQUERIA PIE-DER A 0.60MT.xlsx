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<sst xmlns="http://schemas.openxmlformats.org/spreadsheetml/2006/main" uniqueCount="33">
  <si>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</si>
  <si>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</si>
  <si>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</si>
  <si>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</si>
  <si>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</si>
  <si>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</si>
  <si>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</si>
  <si>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</si>
  <si>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</si>
  <si>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</si>
  <si>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</si>
  <si>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</si>
  <si>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</si>
  <si>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</si>
  <si>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</si>
  <si>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</si>
  <si>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</si>
  <si>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</si>
  <si>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</si>
  <si>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ESTRUCTURA TABIQUERIA PIE/DER A 0.60MT</t>
  </si>
  <si>
    <t>m2</t>
  </si>
  <si>
    <t>PINO SECO DIMENSIONADO 2X3 3.2MT PREMIUM</t>
  </si>
  <si>
    <t>uni</t>
  </si>
  <si>
    <t>$</t>
  </si>
  <si>
    <t xml:space="preserve">CLAVO CORRIENTE 4", BALDE 15KGS. </t>
  </si>
  <si>
    <t>c/u</t>
  </si>
  <si>
    <t>PERNO COCHE 3/8-16X5 PAV T-8 50UNI</t>
  </si>
  <si>
    <t xml:space="preserve">16 LITROS PINTURA ASFÁLTICA IMPERMEABLE IGOL DENSO </t>
  </si>
  <si>
    <t>CARPINTERO + 1 AYUD</t>
  </si>
  <si>
    <t>dia</t>
  </si>
  <si>
    <t>LEYES SOCIALES (O.E.)</t>
  </si>
  <si>
    <t>5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</si>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</sst>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ROUND(P23*AB30,0)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1</v>
      </c>
      <c r="S24" s="20" t="s">
        <v>22</v>
      </c>
      <c r="U24" s="20" t="s">
        <v>23</v>
      </c>
      <c r="W24" s="24" t="n">
        <v>1941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0.008999999999999999</v>
      </c>
      <c r="S25" s="20" t="s">
        <v>25</v>
      </c>
      <c r="U25" s="20" t="s">
        <v>23</v>
      </c>
      <c r="W25" s="24" t="n">
        <v>12723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3</v>
      </c>
      <c r="S26" s="20" t="s">
        <v>22</v>
      </c>
      <c r="U26" s="20" t="s">
        <v>23</v>
      </c>
      <c r="W26" s="24" t="n">
        <v>2513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27</v>
      </c>
      <c r="N27" s="19" t="s"/>
      <c r="P27" s="23" t="n">
        <v>0.0015</v>
      </c>
      <c r="S27" s="20" t="s">
        <v>25</v>
      </c>
      <c r="U27" s="20" t="s">
        <v>23</v>
      </c>
      <c r="W27" s="24" t="n">
        <v>38647</v>
      </c>
      <c r="AB27" s="24">
        <f>ROUND(P27*W27,0)</f>
        <v/>
      </c>
    </row>
    <row customHeight="1" ht="13.35" r="28" s="5" spans="1:35">
      <c r="C28" s="19" t="n"/>
      <c r="G28" s="20" t="n"/>
      <c r="H28" s="20" t="n">
        <v>5</v>
      </c>
      <c r="J28" s="21" t="s">
        <v>28</v>
      </c>
      <c r="N28" s="19" t="s"/>
      <c r="P28" s="23" t="n">
        <v>0.06</v>
      </c>
      <c r="S28" s="20" t="s">
        <v>29</v>
      </c>
      <c r="U28" s="20" t="s">
        <v>23</v>
      </c>
      <c r="W28" s="24" t="n">
        <v>45600</v>
      </c>
      <c r="AB28" s="24">
        <f>ROUND(P28*W28,0)</f>
        <v/>
      </c>
    </row>
    <row customHeight="1" ht="13.35" r="29" s="5" spans="1:35">
      <c r="C29" s="19" t="n"/>
      <c r="G29" s="20" t="n"/>
      <c r="H29" s="20" t="n">
        <v>6</v>
      </c>
      <c r="J29" s="21" t="s">
        <v>30</v>
      </c>
      <c r="N29" s="19" t="s">
        <v>31</v>
      </c>
      <c r="P29" s="23" t="n">
        <v>29</v>
      </c>
      <c r="S29" s="20" t="s">
        <v>32</v>
      </c>
      <c r="U29" s="20" t="s">
        <v>23</v>
      </c>
      <c r="W29" s="24" t="s"/>
      <c r="AB29" s="24">
        <f>ROUND(P29*(AB28)/100,0)</f>
        <v/>
      </c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5" t="s">
        <v>23</v>
      </c>
      <c r="W30" s="20" t="n"/>
      <c r="AB30" s="26">
        <f>SUM(AB24:AB29)</f>
        <v/>
      </c>
      <c r="AC30" s="27" t="n"/>
      <c r="AD30" s="27" t="n"/>
      <c r="AE30" s="27" t="n"/>
      <c r="AF30" s="27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