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<sst xmlns="http://schemas.openxmlformats.org/spreadsheetml/2006/main" uniqueCount="42">
  <si>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</si>
  <si>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</si>
  <si>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</si>
  <si>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</si>
  <si>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</si>
  <si>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</si>
  <si>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</si>
  <si>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</si>
  <si>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</si>
  <si>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</si>
  <si>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</si>
  <si>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</si>
  <si>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</si>
  <si>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</si>
  <si>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</si>
  <si>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</si>
  <si>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</si>
  <si>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</si>
  <si>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</si>
  <si>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PANEL POLIESTIRENO EXPANDIDO ENTRE MALLAS DE  ACERO (ESTRUCTURAL)</t>
  </si>
  <si>
    <t>m2</t>
  </si>
  <si>
    <t>PANEL DE POLIESTIRENO EXPANDIDO ENTRE MALLAS DE ACERO e = 7,6 ESTRUCTURAL</t>
  </si>
  <si>
    <t>uni</t>
  </si>
  <si>
    <t>$</t>
  </si>
  <si>
    <t>MALLA UNION 25X245 CM</t>
  </si>
  <si>
    <t>22X245X0.5 CM MALLA ESQUINERA COVINTEC</t>
  </si>
  <si>
    <t>c/u</t>
  </si>
  <si>
    <t>ESCALERILLA 76X244CM</t>
  </si>
  <si>
    <t>GRAPA AMARRE</t>
  </si>
  <si>
    <t>caj</t>
  </si>
  <si>
    <t>FE CAP KG A-63 18MM</t>
  </si>
  <si>
    <t>kg</t>
  </si>
  <si>
    <t>TOPEX ESTUCO EXTERIOR 25 KG</t>
  </si>
  <si>
    <t>SIKA FIBRA P/MORTERO FIBER N-6 75GR</t>
  </si>
  <si>
    <t>PERDIDAS</t>
  </si>
  <si>
    <t>1,2,3,4,5,6,7,8</t>
  </si>
  <si>
    <t>%</t>
  </si>
  <si>
    <t>MAESTRO DE PRIMERA</t>
  </si>
  <si>
    <t>dia</t>
  </si>
  <si>
    <t>JORNALERO</t>
  </si>
  <si>
    <t>LEYES SOCIALES (O.E.)</t>
  </si>
  <si>
    <t>10,11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</si>
</sst>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0.34</v>
      </c>
      <c r="S24" s="20" t="s">
        <v>22</v>
      </c>
      <c r="U24" s="20" t="s">
        <v>23</v>
      </c>
      <c r="W24" s="24" t="n">
        <v>30900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0.5</v>
      </c>
      <c r="S25" s="20" t="s">
        <v>22</v>
      </c>
      <c r="U25" s="20" t="s">
        <v>23</v>
      </c>
      <c r="W25" s="24" t="n">
        <v>1672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0.33</v>
      </c>
      <c r="S26" s="20" t="s">
        <v>26</v>
      </c>
      <c r="U26" s="20" t="s">
        <v>23</v>
      </c>
      <c r="W26" s="24" t="n">
        <v>3605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0.5</v>
      </c>
      <c r="S27" s="20" t="s">
        <v>22</v>
      </c>
      <c r="U27" s="20" t="s">
        <v>23</v>
      </c>
      <c r="W27" s="24" t="n">
        <v>1210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0.005</v>
      </c>
      <c r="S28" s="20" t="s">
        <v>29</v>
      </c>
      <c r="U28" s="20" t="s">
        <v>23</v>
      </c>
      <c r="W28" s="24" t="n">
        <v>20317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3.15</v>
      </c>
      <c r="S29" s="20" t="s">
        <v>31</v>
      </c>
      <c r="U29" s="20" t="s">
        <v>23</v>
      </c>
      <c r="W29" s="24" t="n">
        <v>596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2.032</v>
      </c>
      <c r="S30" s="20" t="s">
        <v>26</v>
      </c>
      <c r="U30" s="20" t="s">
        <v>23</v>
      </c>
      <c r="W30" s="24" t="n">
        <v>3689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/>
      <c r="P31" s="23" t="n">
        <v>0.01</v>
      </c>
      <c r="S31" s="20" t="s">
        <v>22</v>
      </c>
      <c r="U31" s="20" t="s">
        <v>23</v>
      </c>
      <c r="W31" s="24" t="n">
        <v>5286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>
        <v>35</v>
      </c>
      <c r="P32" s="23" t="n">
        <v>5</v>
      </c>
      <c r="S32" s="20" t="s">
        <v>36</v>
      </c>
      <c r="U32" s="20" t="s">
        <v>23</v>
      </c>
      <c r="W32" s="24" t="s"/>
      <c r="AB32" s="24">
        <f>ROUND(P32*(AB24+AB25+AB26+AB27+AB28+AB29+AB30+AB31)/100,0)</f>
        <v/>
      </c>
    </row>
    <row customHeight="1" ht="13.35" r="33" s="5" spans="1:35">
      <c r="C33" s="19" t="n"/>
      <c r="G33" s="20" t="n"/>
      <c r="H33" s="20" t="n">
        <v>10</v>
      </c>
      <c r="J33" s="21" t="s">
        <v>37</v>
      </c>
      <c r="N33" s="19" t="s"/>
      <c r="P33" s="23" t="n">
        <v>0.1</v>
      </c>
      <c r="S33" s="20" t="s">
        <v>38</v>
      </c>
      <c r="U33" s="20" t="s">
        <v>23</v>
      </c>
      <c r="W33" s="24" t="n">
        <v>27550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39</v>
      </c>
      <c r="N34" s="19" t="s"/>
      <c r="P34" s="23" t="n">
        <v>0.1</v>
      </c>
      <c r="S34" s="20" t="s">
        <v>38</v>
      </c>
      <c r="U34" s="20" t="s">
        <v>23</v>
      </c>
      <c r="W34" s="24" t="n">
        <v>13775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40</v>
      </c>
      <c r="N35" s="19" t="s">
        <v>41</v>
      </c>
      <c r="P35" s="23" t="n">
        <v>29</v>
      </c>
      <c r="S35" s="20" t="s">
        <v>36</v>
      </c>
      <c r="U35" s="20" t="s">
        <v>23</v>
      </c>
      <c r="W35" s="24" t="s"/>
      <c r="AB35" s="24">
        <f>ROUND(P35*(AB33+AB34)/100,0)</f>
        <v/>
      </c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5" t="s">
        <v>23</v>
      </c>
      <c r="W36" s="20" t="n"/>
      <c r="AB36" s="26">
        <f>SUM(AB24:AB35)</f>
        <v/>
      </c>
      <c r="AC36" s="27" t="n"/>
      <c r="AD36" s="27" t="n"/>
      <c r="AE36" s="27" t="n"/>
      <c r="AF36" s="27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