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<sst xmlns="http://schemas.openxmlformats.org/spreadsheetml/2006/main" uniqueCount="39">
  <si>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</si>
  <si>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</si>
  <si>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</si>
  <si>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</si>
  <si>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</si>
  <si>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</si>
  <si>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</si>
  <si>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</si>
  <si>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</si>
  <si>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</si>
  <si>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</si>
  <si>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</si>
  <si>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</si>
  <si>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</si>
  <si>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</si>
  <si>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</si>
  <si>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</si>
  <si>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</si>
  <si>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</si>
  <si>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HORMIGON H-20</t>
  </si>
  <si>
    <t>m3</t>
  </si>
  <si>
    <t>HORMIGON H-20 ESTRUCTURAS (PROVISION)</t>
  </si>
  <si>
    <t>$</t>
  </si>
  <si>
    <t>MEMBRANA DE CURADO</t>
  </si>
  <si>
    <t>lit</t>
  </si>
  <si>
    <t>MOLDAJE</t>
  </si>
  <si>
    <t>m2</t>
  </si>
  <si>
    <t>PERDIDAS</t>
  </si>
  <si>
    <t>1,2,3</t>
  </si>
  <si>
    <t>%</t>
  </si>
  <si>
    <t>VIBRADOR DE INMERSION 5 HP</t>
  </si>
  <si>
    <t>hor</t>
  </si>
  <si>
    <t>BOMBA DE HORMIGONADO</t>
  </si>
  <si>
    <t>CUADRILLA HORMIGONERA</t>
  </si>
  <si>
    <t>dia</t>
  </si>
  <si>
    <t>CAPATAZ OBRAS CIVILES</t>
  </si>
  <si>
    <t>RECARGO DESGASTE HERRAMIEN.</t>
  </si>
  <si>
    <t>7,8</t>
  </si>
  <si>
    <t>LEYES SOCIALES (O.C.)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</si>
</sst>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ROUND(P23*AB34,0)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53702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0.901</v>
      </c>
      <c r="S25" s="20" t="s">
        <v>24</v>
      </c>
      <c r="U25" s="20" t="s">
        <v>22</v>
      </c>
      <c r="W25" s="24" t="n">
        <v>1900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3</v>
      </c>
      <c r="S26" s="20" t="s">
        <v>26</v>
      </c>
      <c r="U26" s="20" t="s">
        <v>22</v>
      </c>
      <c r="W26" s="24" t="n">
        <v>12978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5</v>
      </c>
      <c r="S27" s="20" t="s">
        <v>29</v>
      </c>
      <c r="U27" s="20" t="s">
        <v>22</v>
      </c>
      <c r="W27" s="24" t="s"/>
      <c r="AB27" s="24">
        <f>ROUND(P27*(AB24+AB25+AB26)/100,0)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0.2</v>
      </c>
      <c r="S28" s="20" t="s">
        <v>31</v>
      </c>
      <c r="U28" s="20" t="s">
        <v>22</v>
      </c>
      <c r="W28" s="24" t="n">
        <v>644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/>
      <c r="P29" s="23" t="n">
        <v>1.05</v>
      </c>
      <c r="S29" s="20" t="s">
        <v>20</v>
      </c>
      <c r="U29" s="20" t="s">
        <v>22</v>
      </c>
      <c r="W29" s="24" t="n">
        <v>9658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33</v>
      </c>
      <c r="N30" s="19" t="s"/>
      <c r="P30" s="23" t="n">
        <v>0.0625</v>
      </c>
      <c r="S30" s="20" t="s">
        <v>34</v>
      </c>
      <c r="U30" s="20" t="s">
        <v>22</v>
      </c>
      <c r="W30" s="24" t="n">
        <v>138320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35</v>
      </c>
      <c r="N31" s="19" t="s"/>
      <c r="P31" s="23" t="n">
        <v>0.001</v>
      </c>
      <c r="S31" s="20" t="s">
        <v>34</v>
      </c>
      <c r="U31" s="20" t="s">
        <v>22</v>
      </c>
      <c r="W31" s="24" t="n">
        <v>40375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36</v>
      </c>
      <c r="N32" s="19" t="s">
        <v>37</v>
      </c>
      <c r="P32" s="23" t="n">
        <v>8</v>
      </c>
      <c r="S32" s="20" t="s">
        <v>29</v>
      </c>
      <c r="U32" s="20" t="s">
        <v>22</v>
      </c>
      <c r="W32" s="24" t="s"/>
      <c r="AB32" s="24">
        <f>ROUND(P32*(AB30+AB31)/100,0)</f>
        <v/>
      </c>
    </row>
    <row customHeight="1" ht="13.35" r="33" s="5" spans="1:35">
      <c r="C33" s="19" t="n"/>
      <c r="G33" s="20" t="n"/>
      <c r="H33" s="20" t="n">
        <v>10</v>
      </c>
      <c r="J33" s="21" t="s">
        <v>38</v>
      </c>
      <c r="N33" s="19" t="s">
        <v>37</v>
      </c>
      <c r="P33" s="23" t="n">
        <v>30</v>
      </c>
      <c r="S33" s="20" t="s">
        <v>29</v>
      </c>
      <c r="U33" s="20" t="s">
        <v>22</v>
      </c>
      <c r="W33" s="24" t="s"/>
      <c r="AB33" s="24">
        <f>ROUND(P33*(AB30+AB31)/100,0)</f>
        <v/>
      </c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5" t="s">
        <v>22</v>
      </c>
      <c r="W34" s="20" t="n"/>
      <c r="AB34" s="26">
        <f>SUM(AB24:AB33)</f>
        <v/>
      </c>
      <c r="AC34" s="27" t="n"/>
      <c r="AD34" s="27" t="n"/>
      <c r="AE34" s="27" t="n"/>
      <c r="AF34" s="27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