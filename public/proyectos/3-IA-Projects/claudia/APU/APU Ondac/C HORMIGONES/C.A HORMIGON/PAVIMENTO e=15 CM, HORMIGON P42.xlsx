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<sst xmlns="http://schemas.openxmlformats.org/spreadsheetml/2006/main" uniqueCount="38">
  <si>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</si>
  <si>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</si>
  <si>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</si>
  <si>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</si>
  <si>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</si>
  <si>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</si>
  <si>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</si>
  <si>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</si>
  <si>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</si>
  <si>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</si>
  <si>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</si>
  <si>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</si>
  <si>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</si>
  <si>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</si>
  <si>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</si>
  <si>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</si>
  <si>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</si>
  <si>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</si>
  <si>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</si>
  <si>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PAVIMENTO e=15 CM, HORMIGON P42</t>
  </si>
  <si>
    <t>m3</t>
  </si>
  <si>
    <t>P-042-40-02-80%</t>
  </si>
  <si>
    <t>$</t>
  </si>
  <si>
    <t>CERCHA VIBRADORA 3,5MT 5HP</t>
  </si>
  <si>
    <t>mes</t>
  </si>
  <si>
    <t>MOLDE PAVIMENTACION 15x18</t>
  </si>
  <si>
    <t>dia</t>
  </si>
  <si>
    <t>MANGA PE ML INCOLORA 0.20X1000 MM</t>
  </si>
  <si>
    <t>ml</t>
  </si>
  <si>
    <t>CORTE DILATACION (5 cms.)</t>
  </si>
  <si>
    <t>mt</t>
  </si>
  <si>
    <t>SELLANTE PRT CAVE LASTIC GRIS 305CC</t>
  </si>
  <si>
    <t>uni</t>
  </si>
  <si>
    <t xml:space="preserve">TINETA 18 LITROS MEMBRANA DE CURADO ANTISOL </t>
  </si>
  <si>
    <t>c/u</t>
  </si>
  <si>
    <t>INSTALACION HORM. PAVIM. e=15</t>
  </si>
  <si>
    <t>INSTALACION MOLD. PAVIM. h=15</t>
  </si>
  <si>
    <t>INSTALACION SELLO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</si>
</sst>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ROUND(P23*AB34,0)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1.03</v>
      </c>
      <c r="S24" s="20" t="s">
        <v>20</v>
      </c>
      <c r="U24" s="20" t="s">
        <v>22</v>
      </c>
      <c r="W24" s="24" t="n">
        <v>66509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0.01</v>
      </c>
      <c r="S25" s="20" t="s">
        <v>24</v>
      </c>
      <c r="U25" s="20" t="s">
        <v>22</v>
      </c>
      <c r="W25" s="24" t="n">
        <v>54075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0.073</v>
      </c>
      <c r="S26" s="20" t="s">
        <v>26</v>
      </c>
      <c r="U26" s="20" t="s">
        <v>22</v>
      </c>
      <c r="W26" s="24" t="n">
        <v>4620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0.165</v>
      </c>
      <c r="S27" s="20" t="s">
        <v>28</v>
      </c>
      <c r="U27" s="20" t="s">
        <v>22</v>
      </c>
      <c r="W27" s="24" t="n">
        <v>5286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2.9</v>
      </c>
      <c r="S28" s="20" t="s">
        <v>30</v>
      </c>
      <c r="U28" s="20" t="s">
        <v>22</v>
      </c>
      <c r="W28" s="24" t="n">
        <v>1082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0.65</v>
      </c>
      <c r="S29" s="20" t="s">
        <v>32</v>
      </c>
      <c r="U29" s="20" t="s">
        <v>22</v>
      </c>
      <c r="W29" s="24" t="n">
        <v>5370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33</v>
      </c>
      <c r="N30" s="19" t="s"/>
      <c r="P30" s="23" t="n">
        <v>0.067</v>
      </c>
      <c r="S30" s="20" t="s">
        <v>34</v>
      </c>
      <c r="U30" s="20" t="s">
        <v>22</v>
      </c>
      <c r="W30" s="24" t="n">
        <v>22723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35</v>
      </c>
      <c r="N31" s="19" t="s"/>
      <c r="P31" s="23" t="n">
        <v>1</v>
      </c>
      <c r="S31" s="20" t="s">
        <v>20</v>
      </c>
      <c r="U31" s="20" t="s">
        <v>22</v>
      </c>
      <c r="W31" s="24" t="n">
        <v>7125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36</v>
      </c>
      <c r="N32" s="19" t="s"/>
      <c r="P32" s="23" t="n">
        <v>2</v>
      </c>
      <c r="S32" s="20" t="s">
        <v>32</v>
      </c>
      <c r="U32" s="20" t="s">
        <v>22</v>
      </c>
      <c r="W32" s="24" t="n">
        <v>1520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37</v>
      </c>
      <c r="N33" s="19" t="s"/>
      <c r="P33" s="23" t="n">
        <v>1</v>
      </c>
      <c r="S33" s="20" t="s">
        <v>20</v>
      </c>
      <c r="U33" s="20" t="s">
        <v>22</v>
      </c>
      <c r="W33" s="24" t="n">
        <v>43700</v>
      </c>
      <c r="AB33" s="24">
        <f>ROUND(P33*W33,0)</f>
        <v/>
      </c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5" t="s">
        <v>22</v>
      </c>
      <c r="W34" s="20" t="n"/>
      <c r="AB34" s="26">
        <f>SUM(AB24:AB33)</f>
        <v/>
      </c>
      <c r="AC34" s="27" t="n"/>
      <c r="AD34" s="27" t="n"/>
      <c r="AE34" s="27" t="n"/>
      <c r="AF34" s="27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