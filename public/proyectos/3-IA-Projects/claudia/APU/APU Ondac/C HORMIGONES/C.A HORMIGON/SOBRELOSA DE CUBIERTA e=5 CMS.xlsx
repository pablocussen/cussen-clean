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<sst xmlns="http://schemas.openxmlformats.org/spreadsheetml/2006/main" uniqueCount="39">
  <si>
    <t>PÁGINA</t>
  </si>
  <si>
    <t>: 1</t>
  </si>
  <si>
    <t>FECHA PPTO</t>
  </si>
  <si>
    <t>: 17/05/2019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</si>
  <si>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</si>
  <si>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</si>
  <si>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</si>
  <si>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</si>
  <si>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</si>
  <si>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</si>
  <si>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</si>
  <si>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</si>
  <si>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</si>
  <si>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</si>
  <si>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</si>
  <si>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</si>
  <si>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</si>
  <si>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</si>
  <si>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</si>
  <si>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SOBRELOSA DE CUBIERTA e=5 CMS</t>
  </si>
  <si>
    <t>m2</t>
  </si>
  <si>
    <t xml:space="preserve">TROMPO BENCINERO                 </t>
  </si>
  <si>
    <t>mes</t>
  </si>
  <si>
    <t>$</t>
  </si>
  <si>
    <t>BOLSA 250 LITROS POLIESTIRENO PERLAS BOLSAS S/M</t>
  </si>
  <si>
    <t>c/u</t>
  </si>
  <si>
    <t>CEMENTO POLPAICO 25 KG</t>
  </si>
  <si>
    <t>ARENA GRUESA (FLETE 15KM)</t>
  </si>
  <si>
    <t>m3</t>
  </si>
  <si>
    <t>AGUA REFERENCIA AGUAS ANDINAS</t>
  </si>
  <si>
    <t>ADITIVO ADHERENCIA SIKA LATEX 20KG</t>
  </si>
  <si>
    <t>uni</t>
  </si>
  <si>
    <t>MEMBRANA CURADO ANTISOL 5 KG</t>
  </si>
  <si>
    <t>SUBCONTRATO ALISADO MECANICO CON HELICOPTERO</t>
  </si>
  <si>
    <t>CONCRETERO COLOCACION HORMIGON</t>
  </si>
  <si>
    <t>dia</t>
  </si>
  <si>
    <t>LEYES SOCIALES (O.E.)</t>
  </si>
  <si>
    <t>8,9</t>
  </si>
  <si>
    <t>%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</si>
</sst>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ROUND(P23*AB34,0)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0.00055</v>
      </c>
      <c r="S24" s="20" t="s">
        <v>22</v>
      </c>
      <c r="U24" s="20" t="s">
        <v>23</v>
      </c>
      <c r="W24" s="24" t="n">
        <v>40881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/>
      <c r="P25" s="23" t="n">
        <v>0.9152</v>
      </c>
      <c r="S25" s="20" t="s">
        <v>25</v>
      </c>
      <c r="U25" s="20" t="s">
        <v>23</v>
      </c>
      <c r="W25" s="24" t="n">
        <v>11681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26</v>
      </c>
      <c r="N26" s="19" t="s"/>
      <c r="P26" s="23" t="n">
        <v>0.704</v>
      </c>
      <c r="S26" s="20" t="s">
        <v>25</v>
      </c>
      <c r="U26" s="20" t="s">
        <v>23</v>
      </c>
      <c r="W26" s="24" t="n">
        <v>2933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27</v>
      </c>
      <c r="N27" s="19" t="s"/>
      <c r="P27" s="23" t="n">
        <v>0.01155</v>
      </c>
      <c r="S27" s="20" t="s">
        <v>28</v>
      </c>
      <c r="U27" s="20" t="s">
        <v>23</v>
      </c>
      <c r="W27" s="24" t="n">
        <v>16000</v>
      </c>
      <c r="AB27" s="24">
        <f>ROUND(P27*W27,0)</f>
        <v/>
      </c>
    </row>
    <row customHeight="1" ht="13.35" r="28" s="5" spans="1:35">
      <c r="C28" s="19" t="n"/>
      <c r="G28" s="20" t="n"/>
      <c r="H28" s="20" t="n">
        <v>5</v>
      </c>
      <c r="J28" s="21" t="s">
        <v>29</v>
      </c>
      <c r="N28" s="19" t="s"/>
      <c r="P28" s="23" t="n">
        <v>0.00792</v>
      </c>
      <c r="S28" s="20" t="s">
        <v>28</v>
      </c>
      <c r="U28" s="20" t="s">
        <v>23</v>
      </c>
      <c r="W28" s="24" t="n">
        <v>360</v>
      </c>
      <c r="AB28" s="24">
        <f>ROUND(P28*W28,0)</f>
        <v/>
      </c>
    </row>
    <row customHeight="1" ht="13.35" r="29" s="5" spans="1:35">
      <c r="C29" s="19" t="n"/>
      <c r="G29" s="20" t="n"/>
      <c r="H29" s="20" t="n">
        <v>6</v>
      </c>
      <c r="J29" s="21" t="s">
        <v>30</v>
      </c>
      <c r="N29" s="19" t="s"/>
      <c r="P29" s="23" t="n">
        <v>0.01</v>
      </c>
      <c r="S29" s="20" t="s">
        <v>31</v>
      </c>
      <c r="U29" s="20" t="s">
        <v>23</v>
      </c>
      <c r="W29" s="24" t="n">
        <v>67332</v>
      </c>
      <c r="AB29" s="24">
        <f>ROUND(P29*W29,0)</f>
        <v/>
      </c>
    </row>
    <row customHeight="1" ht="13.35" r="30" s="5" spans="1:35">
      <c r="C30" s="19" t="n"/>
      <c r="G30" s="20" t="n"/>
      <c r="H30" s="20" t="n">
        <v>7</v>
      </c>
      <c r="J30" s="21" t="s">
        <v>32</v>
      </c>
      <c r="N30" s="19" t="s"/>
      <c r="P30" s="23" t="n">
        <v>0.04</v>
      </c>
      <c r="S30" s="20" t="s">
        <v>31</v>
      </c>
      <c r="U30" s="20" t="s">
        <v>23</v>
      </c>
      <c r="W30" s="24" t="n">
        <v>6761</v>
      </c>
      <c r="AB30" s="24">
        <f>ROUND(P30*W30,0)</f>
        <v/>
      </c>
    </row>
    <row customHeight="1" ht="13.35" r="31" s="5" spans="1:35">
      <c r="C31" s="19" t="n"/>
      <c r="G31" s="20" t="n"/>
      <c r="H31" s="20" t="n">
        <v>8</v>
      </c>
      <c r="J31" s="21" t="s">
        <v>33</v>
      </c>
      <c r="N31" s="19" t="s"/>
      <c r="P31" s="23" t="n">
        <v>1</v>
      </c>
      <c r="S31" s="20" t="s">
        <v>20</v>
      </c>
      <c r="U31" s="20" t="s">
        <v>23</v>
      </c>
      <c r="W31" s="24" t="n">
        <v>2500</v>
      </c>
      <c r="AB31" s="24">
        <f>ROUND(P31*W31,0)</f>
        <v/>
      </c>
    </row>
    <row customHeight="1" ht="13.35" r="32" s="5" spans="1:35">
      <c r="C32" s="19" t="n"/>
      <c r="G32" s="20" t="n"/>
      <c r="H32" s="20" t="n">
        <v>9</v>
      </c>
      <c r="J32" s="21" t="s">
        <v>34</v>
      </c>
      <c r="N32" s="19" t="s"/>
      <c r="P32" s="23" t="n">
        <v>0.31034</v>
      </c>
      <c r="S32" s="20" t="s">
        <v>35</v>
      </c>
      <c r="U32" s="20" t="s">
        <v>23</v>
      </c>
      <c r="W32" s="24" t="n">
        <v>13775</v>
      </c>
      <c r="AB32" s="24">
        <f>ROUND(P32*W32,0)</f>
        <v/>
      </c>
    </row>
    <row customHeight="1" ht="13.35" r="33" s="5" spans="1:35">
      <c r="C33" s="19" t="n"/>
      <c r="G33" s="20" t="n"/>
      <c r="H33" s="20" t="n">
        <v>10</v>
      </c>
      <c r="J33" s="21" t="s">
        <v>36</v>
      </c>
      <c r="N33" s="19" t="s">
        <v>37</v>
      </c>
      <c r="P33" s="23" t="n">
        <v>29</v>
      </c>
      <c r="S33" s="20" t="s">
        <v>38</v>
      </c>
      <c r="U33" s="20" t="s">
        <v>23</v>
      </c>
      <c r="W33" s="24" t="s"/>
      <c r="AB33" s="24">
        <f>ROUND(P33*(AB31+AB32)/100,0)</f>
        <v/>
      </c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5" t="s">
        <v>23</v>
      </c>
      <c r="W34" s="20" t="n"/>
      <c r="AB34" s="26">
        <f>SUM(AB24:AB33)</f>
        <v/>
      </c>
      <c r="AC34" s="27" t="n"/>
      <c r="AD34" s="27" t="n"/>
      <c r="AE34" s="27" t="n"/>
      <c r="AF34" s="27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