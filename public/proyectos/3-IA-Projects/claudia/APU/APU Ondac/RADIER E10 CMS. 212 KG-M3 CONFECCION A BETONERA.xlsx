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<sst xmlns="http://schemas.openxmlformats.org/spreadsheetml/2006/main" uniqueCount="40">
  <si>
    <t>PÁGINA</t>
  </si>
  <si>
    <t>: 1</t>
  </si>
  <si>
    <t>FECHA PPTO</t>
  </si>
  <si>
    <t>: 22/04/2019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</si>
  <si>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</si>
  <si>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</si>
  <si>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</si>
  <si>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</si>
  <si>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</si>
  <si>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</si>
  <si>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</si>
  <si>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</si>
  <si>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</si>
  <si>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</si>
  <si>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</si>
  <si>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</si>
  <si>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</si>
  <si>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</si>
  <si>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</si>
  <si>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RADIER e= 10 CMS. 212,5 KGC/M3 CONFECCION A BETONERA</t>
  </si>
  <si>
    <t>m2</t>
  </si>
  <si>
    <t>RIPIO (flete 15km)</t>
  </si>
  <si>
    <t>m3</t>
  </si>
  <si>
    <t>$</t>
  </si>
  <si>
    <t>ARENA GRUESA (FLETE 15KM)</t>
  </si>
  <si>
    <t>CEMENTO POLPAICO 25 KG</t>
  </si>
  <si>
    <t>c/u</t>
  </si>
  <si>
    <t>PERDIDAS</t>
  </si>
  <si>
    <t>3</t>
  </si>
  <si>
    <t>%</t>
  </si>
  <si>
    <t>SIKA ANTISOL BIDON 4,5 LITROS</t>
  </si>
  <si>
    <t>bid</t>
  </si>
  <si>
    <t>BETONERA 11p 7,5hp MES=208h</t>
  </si>
  <si>
    <t>dia</t>
  </si>
  <si>
    <t>CONCRETERO COLOCACION HORMIGON</t>
  </si>
  <si>
    <t>CONCRETERO CONFECCIÓN HORMIGÓN</t>
  </si>
  <si>
    <t>AYUDANTE ALBAÑIL,PLATACHADO</t>
  </si>
  <si>
    <t>RECARGO DESGASTE HERRAMIEN.</t>
  </si>
  <si>
    <t>7,8,9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</si>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</sst>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0.08</v>
      </c>
      <c r="S24" s="20" t="s">
        <v>22</v>
      </c>
      <c r="U24" s="20" t="s">
        <v>23</v>
      </c>
      <c r="W24" s="24" t="n">
        <v>15000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0.047</v>
      </c>
      <c r="S25" s="20" t="s">
        <v>22</v>
      </c>
      <c r="U25" s="20" t="s">
        <v>23</v>
      </c>
      <c r="W25" s="24" t="n">
        <v>16000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0.85</v>
      </c>
      <c r="S26" s="20" t="s">
        <v>26</v>
      </c>
      <c r="U26" s="20" t="s">
        <v>23</v>
      </c>
      <c r="W26" s="24" t="n">
        <v>3185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5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0.04444</v>
      </c>
      <c r="S28" s="20" t="s">
        <v>31</v>
      </c>
      <c r="U28" s="20" t="s">
        <v>23</v>
      </c>
      <c r="W28" s="24" t="n">
        <v>9490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/>
      <c r="P29" s="23" t="n">
        <v>0.0175</v>
      </c>
      <c r="S29" s="20" t="s">
        <v>33</v>
      </c>
      <c r="U29" s="20" t="s">
        <v>23</v>
      </c>
      <c r="W29" s="24" t="n">
        <v>12975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34</v>
      </c>
      <c r="N30" s="19" t="s"/>
      <c r="P30" s="23" t="n">
        <v>0.07000000000000001</v>
      </c>
      <c r="S30" s="20" t="s">
        <v>33</v>
      </c>
      <c r="U30" s="20" t="s">
        <v>23</v>
      </c>
      <c r="W30" s="24" t="n">
        <v>13775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35</v>
      </c>
      <c r="N31" s="19" t="s"/>
      <c r="P31" s="23" t="n">
        <v>0.08500000000000001</v>
      </c>
      <c r="S31" s="20" t="s">
        <v>33</v>
      </c>
      <c r="U31" s="20" t="s">
        <v>23</v>
      </c>
      <c r="W31" s="24" t="n">
        <v>13775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36</v>
      </c>
      <c r="N32" s="19" t="s"/>
      <c r="P32" s="23" t="n">
        <v>0.016</v>
      </c>
      <c r="S32" s="20" t="s">
        <v>33</v>
      </c>
      <c r="U32" s="20" t="s">
        <v>23</v>
      </c>
      <c r="W32" s="24" t="n">
        <v>18050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37</v>
      </c>
      <c r="N33" s="19" t="s">
        <v>38</v>
      </c>
      <c r="P33" s="23" t="n">
        <v>10</v>
      </c>
      <c r="S33" s="20" t="s">
        <v>29</v>
      </c>
      <c r="U33" s="20" t="s">
        <v>23</v>
      </c>
      <c r="W33" s="24" t="s"/>
      <c r="AB33" s="24">
        <f>ROUND(P33*(AB30+AB31+AB32)/100,0)</f>
        <v/>
      </c>
    </row>
    <row customHeight="1" ht="13.35" r="34" s="5" spans="1:35">
      <c r="C34" s="19" t="n"/>
      <c r="G34" s="20" t="n"/>
      <c r="H34" s="20" t="n">
        <v>11</v>
      </c>
      <c r="J34" s="21" t="s">
        <v>39</v>
      </c>
      <c r="N34" s="19" t="s">
        <v>38</v>
      </c>
      <c r="P34" s="23" t="n">
        <v>29</v>
      </c>
      <c r="S34" s="20" t="s">
        <v>29</v>
      </c>
      <c r="U34" s="20" t="s">
        <v>23</v>
      </c>
      <c r="W34" s="24" t="s"/>
      <c r="AB34" s="24">
        <f>ROUND(P34*(AB30+AB31+AB32)/100,0)</f>
        <v/>
      </c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5" t="s">
        <v>23</v>
      </c>
      <c r="W35" s="20" t="n"/>
      <c r="AB35" s="26">
        <f>SUM(AB24:AB34)</f>
        <v/>
      </c>
      <c r="AC35" s="27" t="n"/>
      <c r="AD35" s="27" t="n"/>
      <c r="AE35" s="27" t="n"/>
      <c r="AF35" s="27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