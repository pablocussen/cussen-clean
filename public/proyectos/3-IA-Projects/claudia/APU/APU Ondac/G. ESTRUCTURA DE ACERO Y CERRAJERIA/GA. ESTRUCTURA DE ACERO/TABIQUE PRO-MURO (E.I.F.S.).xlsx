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<sst xmlns="http://schemas.openxmlformats.org/spreadsheetml/2006/main" uniqueCount="45">
  <si>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</si>
  <si>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</si>
  <si>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</si>
  <si>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</si>
  <si>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</si>
  <si>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</si>
  <si>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</si>
  <si>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</si>
  <si>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</si>
  <si>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</si>
  <si>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</si>
  <si>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</si>
  <si>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</si>
  <si>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</si>
  <si>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</si>
  <si>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</si>
  <si>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</si>
  <si>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</si>
  <si>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</si>
  <si>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TABIQUE PRO-MURO (E.I.F.S.)</t>
  </si>
  <si>
    <t>m2</t>
  </si>
  <si>
    <t>3M PERFIL U 2X3X0,85 METALCON ESTRUCTURAL METALCON</t>
  </si>
  <si>
    <t>c/u</t>
  </si>
  <si>
    <t>$</t>
  </si>
  <si>
    <t>6M PERFIL C 2X4X0,85 METALCON ESTRUCTURAL PERFORADO METALCON</t>
  </si>
  <si>
    <t>PLACA FIBEROCK 12,5 mm. 1,22 X 2,30 mt.</t>
  </si>
  <si>
    <t>uni</t>
  </si>
  <si>
    <t>AUTOPERFORANTE CABEZA LENTEJA 8X1 1/4 100 UNIDADES MAMUT</t>
  </si>
  <si>
    <t>TORNILLO VOLCANITA 6 X 1" 10 UNIDADES FIXSER</t>
  </si>
  <si>
    <t>5CM X 45M CINTA FIBRA VIDRIO, AUTOADHESIVA PARA JUNTURAS DE TABIQUERIA... SOLCROM</t>
  </si>
  <si>
    <t>1000CC PASTA ADHESIVA PARA CINTA DE FIBRA DE VIDRIO SOLCROM</t>
  </si>
  <si>
    <t>MASILLA BASE ROMERAL 25 KG ROMERAL</t>
  </si>
  <si>
    <t>BEKRON D.A. PASTA 25 Kg.</t>
  </si>
  <si>
    <t>POLIESTIRENO EXPANDIDO 30X500X1000 MM AISLAPOL</t>
  </si>
  <si>
    <t>CEMENTO PUZOLANICO DE 25 KILOS</t>
  </si>
  <si>
    <t>MALLA FIBRA VIDRIO 50 MT</t>
  </si>
  <si>
    <t>PROFINISH EN TINETA 34 Kg.</t>
  </si>
  <si>
    <t>tin</t>
  </si>
  <si>
    <t>VOLCANITERO + 1 AYUD</t>
  </si>
  <si>
    <t>dia</t>
  </si>
  <si>
    <t>ESTUCADOR</t>
  </si>
  <si>
    <t>JORNALERO</t>
  </si>
  <si>
    <t>LEYES SOCIALES (O.E.)</t>
  </si>
  <si>
    <t>14,15,16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</si>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</sst>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ROUND(P23*AB41,0)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1.05</v>
      </c>
      <c r="S24" s="20" t="s">
        <v>22</v>
      </c>
      <c r="U24" s="20" t="s">
        <v>23</v>
      </c>
      <c r="W24" s="24" t="n">
        <v>2176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0.278</v>
      </c>
      <c r="S25" s="20" t="s">
        <v>22</v>
      </c>
      <c r="U25" s="20" t="s">
        <v>23</v>
      </c>
      <c r="W25" s="24" t="n">
        <v>8899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0.356</v>
      </c>
      <c r="S26" s="20" t="s">
        <v>26</v>
      </c>
      <c r="U26" s="20" t="s">
        <v>23</v>
      </c>
      <c r="W26" s="24" t="n">
        <v>11745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0.0416</v>
      </c>
      <c r="S27" s="20" t="s">
        <v>22</v>
      </c>
      <c r="U27" s="20" t="s">
        <v>23</v>
      </c>
      <c r="W27" s="24" t="n">
        <v>2454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0.2</v>
      </c>
      <c r="S28" s="20" t="s">
        <v>22</v>
      </c>
      <c r="U28" s="20" t="s">
        <v>23</v>
      </c>
      <c r="W28" s="24" t="n">
        <v>328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0.0622</v>
      </c>
      <c r="S29" s="20" t="s">
        <v>22</v>
      </c>
      <c r="U29" s="20" t="s">
        <v>23</v>
      </c>
      <c r="W29" s="24" t="n">
        <v>1588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0.2</v>
      </c>
      <c r="S30" s="20" t="s">
        <v>22</v>
      </c>
      <c r="U30" s="20" t="s">
        <v>23</v>
      </c>
      <c r="W30" s="24" t="n">
        <v>2050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/>
      <c r="P31" s="23" t="n">
        <v>0.264</v>
      </c>
      <c r="S31" s="20" t="s">
        <v>22</v>
      </c>
      <c r="U31" s="20" t="s">
        <v>23</v>
      </c>
      <c r="W31" s="24" t="n">
        <v>12933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32</v>
      </c>
      <c r="N32" s="19" t="s"/>
      <c r="P32" s="23" t="n">
        <v>0.167</v>
      </c>
      <c r="S32" s="20" t="s">
        <v>26</v>
      </c>
      <c r="U32" s="20" t="s">
        <v>23</v>
      </c>
      <c r="W32" s="24" t="n">
        <v>36673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33</v>
      </c>
      <c r="N33" s="19" t="s"/>
      <c r="P33" s="23" t="n">
        <v>0.1</v>
      </c>
      <c r="S33" s="20" t="s">
        <v>26</v>
      </c>
      <c r="U33" s="20" t="s">
        <v>23</v>
      </c>
      <c r="W33" s="24" t="n">
        <v>11168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34</v>
      </c>
      <c r="N34" s="19" t="s"/>
      <c r="P34" s="23" t="n">
        <v>0.1207</v>
      </c>
      <c r="S34" s="20" t="s">
        <v>22</v>
      </c>
      <c r="U34" s="20" t="s">
        <v>23</v>
      </c>
      <c r="W34" s="24" t="n">
        <v>2933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35</v>
      </c>
      <c r="N35" s="19" t="s"/>
      <c r="P35" s="23" t="n">
        <v>0.0432</v>
      </c>
      <c r="S35" s="20" t="s">
        <v>26</v>
      </c>
      <c r="U35" s="20" t="s">
        <v>23</v>
      </c>
      <c r="W35" s="24" t="n">
        <v>56714</v>
      </c>
      <c r="AB35" s="24">
        <f>ROUND(P35*W35,0)</f>
        <v/>
      </c>
    </row>
    <row customHeight="1" ht="13.35" r="36" s="5" spans="1:35">
      <c r="C36" s="19" t="n"/>
      <c r="G36" s="20" t="n"/>
      <c r="H36" s="20" t="n">
        <v>13</v>
      </c>
      <c r="J36" s="21" t="s">
        <v>36</v>
      </c>
      <c r="N36" s="19" t="s"/>
      <c r="P36" s="23" t="n">
        <v>0.08799999999999999</v>
      </c>
      <c r="S36" s="20" t="s">
        <v>37</v>
      </c>
      <c r="U36" s="20" t="s">
        <v>23</v>
      </c>
      <c r="W36" s="24" t="n">
        <v>24768</v>
      </c>
      <c r="AB36" s="24">
        <f>ROUND(P36*W36,0)</f>
        <v/>
      </c>
    </row>
    <row customHeight="1" ht="13.35" r="37" s="5" spans="1:35">
      <c r="C37" s="19" t="n"/>
      <c r="G37" s="20" t="n"/>
      <c r="H37" s="20" t="n">
        <v>14</v>
      </c>
      <c r="J37" s="21" t="s">
        <v>38</v>
      </c>
      <c r="N37" s="19" t="s"/>
      <c r="P37" s="23" t="n">
        <v>0.1</v>
      </c>
      <c r="S37" s="20" t="s">
        <v>39</v>
      </c>
      <c r="U37" s="20" t="s">
        <v>23</v>
      </c>
      <c r="W37" s="24" t="n">
        <v>46550</v>
      </c>
      <c r="AB37" s="24">
        <f>ROUND(P37*W37,0)</f>
        <v/>
      </c>
    </row>
    <row customHeight="1" ht="13.35" r="38" s="5" spans="1:35">
      <c r="C38" s="19" t="n"/>
      <c r="G38" s="20" t="n"/>
      <c r="H38" s="20" t="n">
        <v>15</v>
      </c>
      <c r="J38" s="21" t="s">
        <v>40</v>
      </c>
      <c r="N38" s="19" t="s"/>
      <c r="P38" s="23" t="n">
        <v>0.25</v>
      </c>
      <c r="S38" s="20" t="s">
        <v>39</v>
      </c>
      <c r="U38" s="20" t="s">
        <v>23</v>
      </c>
      <c r="W38" s="24" t="n">
        <v>30875</v>
      </c>
      <c r="AB38" s="24">
        <f>ROUND(P38*W38,0)</f>
        <v/>
      </c>
    </row>
    <row customHeight="1" ht="13.35" r="39" s="5" spans="1:35">
      <c r="C39" s="19" t="n"/>
      <c r="G39" s="20" t="n"/>
      <c r="H39" s="20" t="n">
        <v>16</v>
      </c>
      <c r="J39" s="21" t="s">
        <v>41</v>
      </c>
      <c r="N39" s="19" t="s"/>
      <c r="P39" s="23" t="n">
        <v>0.25</v>
      </c>
      <c r="S39" s="20" t="s">
        <v>39</v>
      </c>
      <c r="U39" s="20" t="s">
        <v>23</v>
      </c>
      <c r="W39" s="24" t="n">
        <v>13775</v>
      </c>
      <c r="AB39" s="24">
        <f>ROUND(P39*W39,0)</f>
        <v/>
      </c>
    </row>
    <row customHeight="1" ht="13.35" r="40" s="5" spans="1:35">
      <c r="C40" s="19" t="n"/>
      <c r="G40" s="20" t="n"/>
      <c r="H40" s="20" t="n">
        <v>17</v>
      </c>
      <c r="J40" s="21" t="s">
        <v>42</v>
      </c>
      <c r="N40" s="19" t="s">
        <v>43</v>
      </c>
      <c r="P40" s="23" t="n">
        <v>29</v>
      </c>
      <c r="S40" s="20" t="s">
        <v>44</v>
      </c>
      <c r="U40" s="20" t="s">
        <v>23</v>
      </c>
      <c r="W40" s="24" t="s"/>
      <c r="AB40" s="24">
        <f>ROUND(P40*(AB37+AB38+AB39)/100,0)</f>
        <v/>
      </c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5" t="s">
        <v>23</v>
      </c>
      <c r="W41" s="20" t="n"/>
      <c r="AB41" s="26">
        <f>SUM(AB24:AB40)</f>
        <v/>
      </c>
      <c r="AC41" s="27" t="n"/>
      <c r="AD41" s="27" t="n"/>
      <c r="AE41" s="27" t="n"/>
      <c r="AF41" s="27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