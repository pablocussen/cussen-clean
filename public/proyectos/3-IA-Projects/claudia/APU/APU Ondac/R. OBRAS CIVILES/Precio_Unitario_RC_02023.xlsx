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<sst xmlns="http://schemas.openxmlformats.org/spreadsheetml/2006/main" uniqueCount="35">
  <si>
    <t>PÁGINA</t>
  </si>
  <si>
    <t>: 1</t>
  </si>
  <si>
    <t>FECHA PPTO</t>
  </si>
  <si>
    <t>: 22/05/2019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</si>
  <si>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</si>
  <si>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</si>
  <si>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</si>
  <si>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</si>
  <si>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</si>
  <si>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</si>
  <si>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</si>
  <si>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</si>
  <si>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</si>
  <si>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</si>
  <si>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</si>
  <si>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</si>
  <si>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</si>
  <si>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</si>
  <si>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</si>
  <si>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SUBBASE GRANULAR, C.B.R. Mayor 40% (COMPACTADA)</t>
  </si>
  <si>
    <t>m3</t>
  </si>
  <si>
    <t>SUBBASE GRANULAR, C.B.R.&gt;40%</t>
  </si>
  <si>
    <t>$</t>
  </si>
  <si>
    <t>AGUA INDUSTRIAL</t>
  </si>
  <si>
    <t>MOTONIVELADORA 200 HP</t>
  </si>
  <si>
    <t>hor</t>
  </si>
  <si>
    <t>CAMION AGUA ALJIBE</t>
  </si>
  <si>
    <t>RODILLO COMPACTADOR 10 TON</t>
  </si>
  <si>
    <t>CAMION TOLVA CAP. 15 M3</t>
  </si>
  <si>
    <t>CAPATAZ MOVIMIENTO DE TIERRAS</t>
  </si>
  <si>
    <t>dia</t>
  </si>
  <si>
    <t>MAESTRO ESTAQUERO</t>
  </si>
  <si>
    <t>LEYES SOCIALES (O.C.)</t>
  </si>
  <si>
    <t>7,8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</si>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</sst>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ROUND(P23*AB33,0)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1.3</v>
      </c>
      <c r="S24" s="20" t="s">
        <v>20</v>
      </c>
      <c r="U24" s="20" t="s">
        <v>22</v>
      </c>
      <c r="W24" s="24" t="n">
        <v>4500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23</v>
      </c>
      <c r="N25" s="19" t="s"/>
      <c r="P25" s="23" t="n">
        <v>0.12</v>
      </c>
      <c r="S25" s="20" t="s">
        <v>20</v>
      </c>
      <c r="U25" s="20" t="s">
        <v>22</v>
      </c>
      <c r="W25" s="24" t="n">
        <v>300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24</v>
      </c>
      <c r="N26" s="19" t="s"/>
      <c r="P26" s="23" t="n">
        <v>0.02</v>
      </c>
      <c r="S26" s="20" t="s">
        <v>25</v>
      </c>
      <c r="U26" s="20" t="s">
        <v>22</v>
      </c>
      <c r="W26" s="24" t="n">
        <v>41200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26</v>
      </c>
      <c r="N27" s="19" t="s"/>
      <c r="P27" s="23" t="n">
        <v>0.02</v>
      </c>
      <c r="S27" s="20" t="s">
        <v>25</v>
      </c>
      <c r="U27" s="20" t="s">
        <v>22</v>
      </c>
      <c r="W27" s="24" t="n">
        <v>25568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27</v>
      </c>
      <c r="N28" s="19" t="s"/>
      <c r="P28" s="23" t="n">
        <v>0.016</v>
      </c>
      <c r="S28" s="20" t="s">
        <v>25</v>
      </c>
      <c r="U28" s="20" t="s">
        <v>22</v>
      </c>
      <c r="W28" s="24" t="n">
        <v>25750</v>
      </c>
      <c r="AB28" s="24">
        <f>ROUND(P28*W28,0)</f>
        <v/>
      </c>
    </row>
    <row customHeight="1" ht="13.35" r="29" s="5" spans="1:35">
      <c r="C29" s="19" t="n"/>
      <c r="G29" s="20" t="n"/>
      <c r="H29" s="20" t="n">
        <v>6</v>
      </c>
      <c r="J29" s="21" t="s">
        <v>28</v>
      </c>
      <c r="N29" s="19" t="s"/>
      <c r="P29" s="23" t="n">
        <v>0.2208</v>
      </c>
      <c r="S29" s="20" t="s">
        <v>25</v>
      </c>
      <c r="U29" s="20" t="s">
        <v>22</v>
      </c>
      <c r="W29" s="24" t="n">
        <v>32015</v>
      </c>
      <c r="AB29" s="24">
        <f>ROUND(P29*W29,0)</f>
        <v/>
      </c>
    </row>
    <row customHeight="1" ht="13.35" r="30" s="5" spans="1:35">
      <c r="C30" s="19" t="n"/>
      <c r="G30" s="20" t="n"/>
      <c r="H30" s="20" t="n">
        <v>7</v>
      </c>
      <c r="J30" s="21" t="s">
        <v>29</v>
      </c>
      <c r="N30" s="19" t="s"/>
      <c r="P30" s="23" t="n">
        <v>0.0123</v>
      </c>
      <c r="S30" s="20" t="s">
        <v>30</v>
      </c>
      <c r="U30" s="20" t="s">
        <v>22</v>
      </c>
      <c r="W30" s="24" t="n">
        <v>28500</v>
      </c>
      <c r="AB30" s="24">
        <f>ROUND(P30*W30,0)</f>
        <v/>
      </c>
    </row>
    <row customHeight="1" ht="13.35" r="31" s="5" spans="1:35">
      <c r="C31" s="19" t="n"/>
      <c r="G31" s="20" t="n"/>
      <c r="H31" s="20" t="n">
        <v>8</v>
      </c>
      <c r="J31" s="21" t="s">
        <v>31</v>
      </c>
      <c r="N31" s="19" t="s"/>
      <c r="P31" s="23" t="n">
        <v>0.0123</v>
      </c>
      <c r="S31" s="20" t="s">
        <v>30</v>
      </c>
      <c r="U31" s="20" t="s">
        <v>22</v>
      </c>
      <c r="W31" s="24" t="n">
        <v>19950</v>
      </c>
      <c r="AB31" s="24">
        <f>ROUND(P31*W31,0)</f>
        <v/>
      </c>
    </row>
    <row customHeight="1" ht="13.35" r="32" s="5" spans="1:35">
      <c r="C32" s="19" t="n"/>
      <c r="G32" s="20" t="n"/>
      <c r="H32" s="20" t="n">
        <v>9</v>
      </c>
      <c r="J32" s="21" t="s">
        <v>32</v>
      </c>
      <c r="N32" s="19" t="s">
        <v>33</v>
      </c>
      <c r="P32" s="23" t="n">
        <v>30</v>
      </c>
      <c r="S32" s="20" t="s">
        <v>34</v>
      </c>
      <c r="U32" s="20" t="s">
        <v>22</v>
      </c>
      <c r="W32" s="24" t="s"/>
      <c r="AB32" s="24">
        <f>ROUND(P32*(AB30+AB31)/100,0)</f>
        <v/>
      </c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5" t="s">
        <v>22</v>
      </c>
      <c r="W33" s="20" t="n"/>
      <c r="AB33" s="26">
        <f>SUM(AB24:AB32)</f>
        <v/>
      </c>
      <c r="AC33" s="27" t="n"/>
      <c r="AD33" s="27" t="n"/>
      <c r="AE33" s="27" t="n"/>
      <c r="AF33" s="27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