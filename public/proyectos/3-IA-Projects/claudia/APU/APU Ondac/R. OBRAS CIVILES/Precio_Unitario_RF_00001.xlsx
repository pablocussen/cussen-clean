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<sst xmlns="http://schemas.openxmlformats.org/spreadsheetml/2006/main" uniqueCount="41">
  <si>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</si>
  <si>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</si>
  <si>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</si>
  <si>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</si>
  <si>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</si>
  <si>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</si>
  <si>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</si>
  <si>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</si>
  <si>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</si>
  <si>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</si>
  <si>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</si>
  <si>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</si>
  <si>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</si>
  <si>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</si>
  <si>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</si>
  <si>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</si>
  <si>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</si>
  <si>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</si>
  <si>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</si>
  <si>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CAMARA DE INSPECCION TIPO B, D=1.3MT, H=1 MT</t>
  </si>
  <si>
    <t>uni</t>
  </si>
  <si>
    <t>ARENA ESTUCO C/FLETE 15 KMS</t>
  </si>
  <si>
    <t>lit</t>
  </si>
  <si>
    <t>$</t>
  </si>
  <si>
    <t>TAPA CAMARA REDONDA TIPO CALZADA CON ANILLO</t>
  </si>
  <si>
    <t>CEMENTO POLPAICO 25 KG</t>
  </si>
  <si>
    <t>c/u</t>
  </si>
  <si>
    <t>ACERO A44-28 H</t>
  </si>
  <si>
    <t>kg</t>
  </si>
  <si>
    <t>ESCALIN GALVANIZADO 30X20CM SM</t>
  </si>
  <si>
    <t>HORMIGON 170 KG/C/M3</t>
  </si>
  <si>
    <t>m3</t>
  </si>
  <si>
    <t>MOLDAJE ARRIENDO MES</t>
  </si>
  <si>
    <t>m2</t>
  </si>
  <si>
    <t>ALBAÑIL + 1 AYUD</t>
  </si>
  <si>
    <t>dia</t>
  </si>
  <si>
    <t>ENFIERRADOR</t>
  </si>
  <si>
    <t>CARPINTERO + 1 AYUD</t>
  </si>
  <si>
    <t>LEYES SOCIALES (O.E.)</t>
  </si>
  <si>
    <t>8,9,10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</si>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</sst>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ROUND(P23*AB35,0)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100</v>
      </c>
      <c r="S24" s="20" t="s">
        <v>22</v>
      </c>
      <c r="U24" s="20" t="s">
        <v>23</v>
      </c>
      <c r="W24" s="24" t="n">
        <v>16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</v>
      </c>
      <c r="S25" s="20" t="s">
        <v>20</v>
      </c>
      <c r="U25" s="20" t="s">
        <v>23</v>
      </c>
      <c r="W25" s="24" t="n">
        <v>82100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5.1</v>
      </c>
      <c r="S26" s="20" t="s">
        <v>26</v>
      </c>
      <c r="U26" s="20" t="s">
        <v>23</v>
      </c>
      <c r="W26" s="24" t="n">
        <v>2933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14.5</v>
      </c>
      <c r="S27" s="20" t="s">
        <v>28</v>
      </c>
      <c r="U27" s="20" t="s">
        <v>23</v>
      </c>
      <c r="W27" s="24" t="n">
        <v>690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3</v>
      </c>
      <c r="S28" s="20" t="s">
        <v>26</v>
      </c>
      <c r="U28" s="20" t="s">
        <v>23</v>
      </c>
      <c r="W28" s="24" t="n">
        <v>4025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1.4</v>
      </c>
      <c r="S29" s="20" t="s">
        <v>31</v>
      </c>
      <c r="U29" s="20" t="s">
        <v>23</v>
      </c>
      <c r="W29" s="24" t="n">
        <v>35200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10.6</v>
      </c>
      <c r="S30" s="20" t="s">
        <v>33</v>
      </c>
      <c r="U30" s="20" t="s">
        <v>23</v>
      </c>
      <c r="W30" s="24" t="n">
        <v>12600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34</v>
      </c>
      <c r="N31" s="19" t="s"/>
      <c r="P31" s="23" t="n">
        <v>1.5</v>
      </c>
      <c r="S31" s="20" t="s">
        <v>35</v>
      </c>
      <c r="U31" s="20" t="s">
        <v>23</v>
      </c>
      <c r="W31" s="24" t="n">
        <v>46550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36</v>
      </c>
      <c r="N32" s="19" t="s"/>
      <c r="P32" s="23" t="n">
        <v>0.15</v>
      </c>
      <c r="S32" s="20" t="s">
        <v>35</v>
      </c>
      <c r="U32" s="20" t="s">
        <v>23</v>
      </c>
      <c r="W32" s="24" t="n">
        <v>30400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37</v>
      </c>
      <c r="N33" s="19" t="s"/>
      <c r="P33" s="23" t="n">
        <v>1</v>
      </c>
      <c r="S33" s="20" t="s">
        <v>35</v>
      </c>
      <c r="U33" s="20" t="s">
        <v>23</v>
      </c>
      <c r="W33" s="24" t="n">
        <v>45600</v>
      </c>
      <c r="AB33" s="24">
        <f>ROUND(P33*W33,0)</f>
        <v/>
      </c>
    </row>
    <row customHeight="1" ht="13.35" r="34" s="5" spans="1:35">
      <c r="C34" s="19" t="n"/>
      <c r="G34" s="20" t="n"/>
      <c r="H34" s="20" t="n">
        <v>11</v>
      </c>
      <c r="J34" s="21" t="s">
        <v>38</v>
      </c>
      <c r="N34" s="19" t="s">
        <v>39</v>
      </c>
      <c r="P34" s="23" t="n">
        <v>29</v>
      </c>
      <c r="S34" s="20" t="s">
        <v>40</v>
      </c>
      <c r="U34" s="20" t="s">
        <v>23</v>
      </c>
      <c r="W34" s="24" t="s"/>
      <c r="AB34" s="24">
        <f>ROUND(P34*(AB31+AB32+AB33)/100,0)</f>
        <v/>
      </c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5" t="s">
        <v>23</v>
      </c>
      <c r="W35" s="20" t="n"/>
      <c r="AB35" s="26">
        <f>SUM(AB24:AB34)</f>
        <v/>
      </c>
      <c r="AC35" s="27" t="n"/>
      <c r="AD35" s="27" t="n"/>
      <c r="AE35" s="27" t="n"/>
      <c r="AF35" s="27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