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<sst xmlns="http://schemas.openxmlformats.org/spreadsheetml/2006/main" uniqueCount="39">
  <si>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</si>
  <si>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</si>
  <si>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</si>
  <si>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</si>
  <si>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</si>
  <si>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</si>
  <si>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</si>
  <si>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</si>
  <si>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</si>
  <si>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</si>
  <si>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</si>
  <si>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</si>
  <si>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</si>
  <si>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</si>
  <si>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</si>
  <si>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</si>
  <si>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</si>
  <si>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</si>
  <si>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</si>
  <si>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VALLA PEATONAL</t>
  </si>
  <si>
    <t>mt</t>
  </si>
  <si>
    <t>PERFIL CUADRADO 40X40X2.0 6 MT</t>
  </si>
  <si>
    <t>uni</t>
  </si>
  <si>
    <t>$</t>
  </si>
  <si>
    <t>PERFIL CUADRADO 15X15X1.5 6 MT</t>
  </si>
  <si>
    <t>H-025-40-06 niv.conf. 80%</t>
  </si>
  <si>
    <t>m3</t>
  </si>
  <si>
    <t>ESMALTE SINTETICO ALTO BRILLO 1 GALON BLANCO SIPA</t>
  </si>
  <si>
    <t>c/u</t>
  </si>
  <si>
    <t>BROCHA PROFESIONAL 5/8X5 PULG. CONDOR</t>
  </si>
  <si>
    <t>AGUARRAS 5 LITROS DIDEVAL</t>
  </si>
  <si>
    <t>PISTOLA PARA PINTAR W600 250 ML</t>
  </si>
  <si>
    <t>SOLDADOR EST.METALICA</t>
  </si>
  <si>
    <t>dia</t>
  </si>
  <si>
    <t>MAESTRO DE PRIMERA</t>
  </si>
  <si>
    <t>JORNALERO PALERO</t>
  </si>
  <si>
    <t>LEYES SOCIALES (O.E.)</t>
  </si>
  <si>
    <t>8,9,10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</si>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</sst>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0.83</v>
      </c>
      <c r="S24" s="20" t="s">
        <v>22</v>
      </c>
      <c r="U24" s="20" t="s">
        <v>23</v>
      </c>
      <c r="W24" s="24" t="n">
        <v>9252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22</v>
      </c>
      <c r="U25" s="20" t="s">
        <v>23</v>
      </c>
      <c r="W25" s="24" t="n">
        <v>2681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0.04</v>
      </c>
      <c r="S26" s="20" t="s">
        <v>26</v>
      </c>
      <c r="U26" s="20" t="s">
        <v>23</v>
      </c>
      <c r="W26" s="24" t="n">
        <v>54826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0.07000000000000001</v>
      </c>
      <c r="S27" s="20" t="s">
        <v>28</v>
      </c>
      <c r="U27" s="20" t="s">
        <v>23</v>
      </c>
      <c r="W27" s="24" t="n">
        <v>11756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0.01</v>
      </c>
      <c r="S28" s="20" t="s">
        <v>22</v>
      </c>
      <c r="U28" s="20" t="s">
        <v>23</v>
      </c>
      <c r="W28" s="24" t="n">
        <v>5370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0.01</v>
      </c>
      <c r="S29" s="20" t="s">
        <v>22</v>
      </c>
      <c r="U29" s="20" t="s">
        <v>23</v>
      </c>
      <c r="W29" s="24" t="n">
        <v>4361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0.01</v>
      </c>
      <c r="S30" s="20" t="s">
        <v>28</v>
      </c>
      <c r="U30" s="20" t="s">
        <v>23</v>
      </c>
      <c r="W30" s="24" t="n">
        <v>67218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0.235</v>
      </c>
      <c r="S31" s="20" t="s">
        <v>33</v>
      </c>
      <c r="U31" s="20" t="s">
        <v>23</v>
      </c>
      <c r="W31" s="24" t="n">
        <v>30400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0.235</v>
      </c>
      <c r="S32" s="20" t="s">
        <v>33</v>
      </c>
      <c r="U32" s="20" t="s">
        <v>23</v>
      </c>
      <c r="W32" s="24" t="n">
        <v>27550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0.5</v>
      </c>
      <c r="S33" s="20" t="s">
        <v>33</v>
      </c>
      <c r="U33" s="20" t="s">
        <v>23</v>
      </c>
      <c r="W33" s="24" t="n">
        <v>13775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>
        <v>37</v>
      </c>
      <c r="P34" s="23" t="n">
        <v>29</v>
      </c>
      <c r="S34" s="20" t="s">
        <v>38</v>
      </c>
      <c r="U34" s="20" t="s">
        <v>23</v>
      </c>
      <c r="W34" s="24" t="s"/>
      <c r="AB34" s="24">
        <f>ROUND(P34*(AB31+AB32+AB33)/100,0)</f>
        <v/>
      </c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5" t="s">
        <v>23</v>
      </c>
      <c r="W35" s="20" t="n"/>
      <c r="AB35" s="26">
        <f>SUM(AB24:AB34)</f>
        <v/>
      </c>
      <c r="AC35" s="27" t="n"/>
      <c r="AD35" s="27" t="n"/>
      <c r="AE35" s="27" t="n"/>
      <c r="AF35" s="27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