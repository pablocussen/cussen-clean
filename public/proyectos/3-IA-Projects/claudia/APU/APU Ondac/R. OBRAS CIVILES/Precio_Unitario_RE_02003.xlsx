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<sst xmlns="http://schemas.openxmlformats.org/spreadsheetml/2006/main" uniqueCount="43">
  <si>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</si>
  <si>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</si>
  <si>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</si>
  <si>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</si>
  <si>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</si>
  <si>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</si>
  <si>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</si>
  <si>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</si>
  <si>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</si>
  <si>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</si>
  <si>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</si>
  <si>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</si>
  <si>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</si>
  <si>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</si>
  <si>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</si>
  <si>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</si>
  <si>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</si>
  <si>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</si>
  <si>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</si>
  <si>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PORTON DE MADERA DOS HOJAS</t>
  </si>
  <si>
    <t>uni</t>
  </si>
  <si>
    <t>PINO IMPREGNADO 6" X 6" X 260</t>
  </si>
  <si>
    <t>$</t>
  </si>
  <si>
    <t>PINO IMPREGNADO 2" X 5" X 170</t>
  </si>
  <si>
    <t>PINO IMPREGNADO 2" X 5" X 140</t>
  </si>
  <si>
    <t>PINO IMPREGNADO 2" X 5" X 150</t>
  </si>
  <si>
    <t>PINO IMPREGNADO 2" X 5" X 220</t>
  </si>
  <si>
    <t>PINO IMPREGNADO 2" X 5" X 195</t>
  </si>
  <si>
    <t>PINO IMPREGNADO 4" X 4" X 50</t>
  </si>
  <si>
    <t>CLAVO CORRIENTE 3" X 10, BOLSA 1 KG.</t>
  </si>
  <si>
    <t>c/u</t>
  </si>
  <si>
    <t>PLETINA DOBLADA EN U 24" X 4" X 1/4"</t>
  </si>
  <si>
    <t>BUJE 1/2X100 MM</t>
  </si>
  <si>
    <t>GOZNE TIPO L 7/8X4X8 CON 1 TUERCA</t>
  </si>
  <si>
    <t>PERNO COCHE C/T 3/8X6 PV 2UNI</t>
  </si>
  <si>
    <t>16 LITROS IMPRIMANTE ASFALTICO IGOL PRIMER SIKA</t>
  </si>
  <si>
    <t>HORMIGON H-20 ESTRUCTURAS (PROVISION)</t>
  </si>
  <si>
    <t>m3</t>
  </si>
  <si>
    <t>CARPINTERO + 1 AYUD</t>
  </si>
  <si>
    <t>dia</t>
  </si>
  <si>
    <t>LEYES SOCIALES (O.C.)</t>
  </si>
  <si>
    <t>15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</si>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</sst>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ROUND(P23*AB40,0)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</v>
      </c>
      <c r="S24" s="20" t="s">
        <v>20</v>
      </c>
      <c r="U24" s="20" t="s">
        <v>22</v>
      </c>
      <c r="W24" s="24" t="n">
        <v>9076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2</v>
      </c>
      <c r="S25" s="20" t="s">
        <v>20</v>
      </c>
      <c r="U25" s="20" t="s">
        <v>22</v>
      </c>
      <c r="W25" s="24" t="n">
        <v>2185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2</v>
      </c>
      <c r="S26" s="20" t="s">
        <v>20</v>
      </c>
      <c r="U26" s="20" t="s">
        <v>22</v>
      </c>
      <c r="W26" s="24" t="n">
        <v>1261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2</v>
      </c>
      <c r="S27" s="20" t="s">
        <v>20</v>
      </c>
      <c r="U27" s="20" t="s">
        <v>22</v>
      </c>
      <c r="W27" s="24" t="n">
        <v>1261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26</v>
      </c>
      <c r="N28" s="19" t="s"/>
      <c r="P28" s="23" t="n">
        <v>2</v>
      </c>
      <c r="S28" s="20" t="s">
        <v>20</v>
      </c>
      <c r="U28" s="20" t="s">
        <v>22</v>
      </c>
      <c r="W28" s="24" t="n">
        <v>2185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27</v>
      </c>
      <c r="N29" s="19" t="s"/>
      <c r="P29" s="23" t="n">
        <v>16</v>
      </c>
      <c r="S29" s="20" t="s">
        <v>20</v>
      </c>
      <c r="U29" s="20" t="s">
        <v>22</v>
      </c>
      <c r="W29" s="24" t="n">
        <v>2185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28</v>
      </c>
      <c r="N30" s="19" t="s"/>
      <c r="P30" s="23" t="n">
        <v>1</v>
      </c>
      <c r="S30" s="20" t="s">
        <v>20</v>
      </c>
      <c r="U30" s="20" t="s">
        <v>22</v>
      </c>
      <c r="W30" s="24" t="n">
        <v>1176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29</v>
      </c>
      <c r="N31" s="19" t="s"/>
      <c r="P31" s="23" t="n">
        <v>10</v>
      </c>
      <c r="S31" s="20" t="s">
        <v>30</v>
      </c>
      <c r="U31" s="20" t="s">
        <v>22</v>
      </c>
      <c r="W31" s="24" t="n">
        <v>1134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31</v>
      </c>
      <c r="N32" s="19" t="s"/>
      <c r="P32" s="23" t="n">
        <v>4</v>
      </c>
      <c r="S32" s="20" t="s">
        <v>20</v>
      </c>
      <c r="U32" s="20" t="s">
        <v>22</v>
      </c>
      <c r="W32" s="24" t="n">
        <v>9500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32</v>
      </c>
      <c r="N33" s="19" t="s"/>
      <c r="P33" s="23" t="n">
        <v>8</v>
      </c>
      <c r="S33" s="20" t="s">
        <v>20</v>
      </c>
      <c r="U33" s="20" t="s">
        <v>22</v>
      </c>
      <c r="W33" s="24" t="n">
        <v>1000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33</v>
      </c>
      <c r="N34" s="19" t="s"/>
      <c r="P34" s="23" t="n">
        <v>4</v>
      </c>
      <c r="S34" s="20" t="s">
        <v>20</v>
      </c>
      <c r="U34" s="20" t="s">
        <v>22</v>
      </c>
      <c r="W34" s="24" t="n">
        <v>6300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34</v>
      </c>
      <c r="N35" s="19" t="s"/>
      <c r="P35" s="23" t="n">
        <v>6</v>
      </c>
      <c r="S35" s="20" t="s">
        <v>20</v>
      </c>
      <c r="U35" s="20" t="s">
        <v>22</v>
      </c>
      <c r="W35" s="24" t="n">
        <v>2513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35</v>
      </c>
      <c r="N36" s="19" t="s"/>
      <c r="P36" s="23" t="n">
        <v>0.0225</v>
      </c>
      <c r="S36" s="20" t="s">
        <v>30</v>
      </c>
      <c r="U36" s="20" t="s">
        <v>22</v>
      </c>
      <c r="W36" s="24" t="n">
        <v>33185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36</v>
      </c>
      <c r="N37" s="19" t="s"/>
      <c r="P37" s="23" t="n">
        <v>0.272</v>
      </c>
      <c r="S37" s="20" t="s">
        <v>37</v>
      </c>
      <c r="U37" s="20" t="s">
        <v>22</v>
      </c>
      <c r="W37" s="24" t="n">
        <v>53702</v>
      </c>
      <c r="AB37" s="24">
        <f>ROUND(P37*W37,0)</f>
        <v/>
      </c>
    </row>
    <row customHeight="1" ht="13.35" r="38" s="5" spans="1:35">
      <c r="C38" s="19" t="n"/>
      <c r="G38" s="20" t="n"/>
      <c r="H38" s="20" t="n">
        <v>15</v>
      </c>
      <c r="J38" s="21" t="s">
        <v>38</v>
      </c>
      <c r="N38" s="19" t="s"/>
      <c r="P38" s="23" t="n">
        <v>2.2</v>
      </c>
      <c r="S38" s="20" t="s">
        <v>39</v>
      </c>
      <c r="U38" s="20" t="s">
        <v>22</v>
      </c>
      <c r="W38" s="24" t="n">
        <v>45600</v>
      </c>
      <c r="AB38" s="24">
        <f>ROUND(P38*W38,0)</f>
        <v/>
      </c>
    </row>
    <row customHeight="1" ht="13.35" r="39" s="5" spans="1:35">
      <c r="C39" s="19" t="n"/>
      <c r="G39" s="20" t="n"/>
      <c r="H39" s="20" t="n">
        <v>16</v>
      </c>
      <c r="J39" s="21" t="s">
        <v>40</v>
      </c>
      <c r="N39" s="19" t="s">
        <v>41</v>
      </c>
      <c r="P39" s="23" t="n">
        <v>30</v>
      </c>
      <c r="S39" s="20" t="s">
        <v>42</v>
      </c>
      <c r="U39" s="20" t="s">
        <v>22</v>
      </c>
      <c r="W39" s="24" t="s"/>
      <c r="AB39" s="24">
        <f>ROUND(P39*(AB38)/100,0)</f>
        <v/>
      </c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5" t="s">
        <v>22</v>
      </c>
      <c r="W40" s="20" t="n"/>
      <c r="AB40" s="26">
        <f>SUM(AB24:AB39)</f>
        <v/>
      </c>
      <c r="AC40" s="27" t="n"/>
      <c r="AD40" s="27" t="n"/>
      <c r="AE40" s="27" t="n"/>
      <c r="AF40" s="27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