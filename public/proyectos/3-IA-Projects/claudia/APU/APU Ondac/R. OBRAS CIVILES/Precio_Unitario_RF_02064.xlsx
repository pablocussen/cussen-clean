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<sst xmlns="http://schemas.openxmlformats.org/spreadsheetml/2006/main" uniqueCount="39">
  <si>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</si>
  <si>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</si>
  <si>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</si>
  <si>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</si>
  <si>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</si>
  <si>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</si>
  <si>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</si>
  <si>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</si>
  <si>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</si>
  <si>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</si>
  <si>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</si>
  <si>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</si>
  <si>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</si>
  <si>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</si>
  <si>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</si>
  <si>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</si>
  <si>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</si>
  <si>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</si>
  <si>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</si>
  <si>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SUMINISTRO Y COLOC. SOLERA TIPO C</t>
  </si>
  <si>
    <t>ml</t>
  </si>
  <si>
    <t>CAMION AGUA MACK ALGIBE</t>
  </si>
  <si>
    <t>hor</t>
  </si>
  <si>
    <t>$</t>
  </si>
  <si>
    <t>BETONERAS 11p C/TOLVAS ELEC</t>
  </si>
  <si>
    <t>mes</t>
  </si>
  <si>
    <t>CEMENTO POLPAICO 25 KG</t>
  </si>
  <si>
    <t>c/u</t>
  </si>
  <si>
    <t>RIPIO (flete 15km)</t>
  </si>
  <si>
    <t>m3</t>
  </si>
  <si>
    <t>ARENA PLANTA (FLETE 15KM)</t>
  </si>
  <si>
    <t>V/T SOLERA TIPO C DE 0</t>
  </si>
  <si>
    <t>uni</t>
  </si>
  <si>
    <t>AYUDANTE O. CIVILES</t>
  </si>
  <si>
    <t>dia</t>
  </si>
  <si>
    <t>MAESTRO DE SEGUNDA</t>
  </si>
  <si>
    <t>LEYES SOCIALES (O.C.)</t>
  </si>
  <si>
    <t>7,8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</si>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</sst>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ROUND(P23*AB33,0)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0.02</v>
      </c>
      <c r="S24" s="20" t="s">
        <v>22</v>
      </c>
      <c r="U24" s="20" t="s">
        <v>23</v>
      </c>
      <c r="W24" s="24" t="n">
        <v>8328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0.003</v>
      </c>
      <c r="S25" s="20" t="s">
        <v>25</v>
      </c>
      <c r="U25" s="20" t="s">
        <v>23</v>
      </c>
      <c r="W25" s="24" t="n">
        <v>237930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0.255</v>
      </c>
      <c r="S26" s="20" t="s">
        <v>27</v>
      </c>
      <c r="U26" s="20" t="s">
        <v>23</v>
      </c>
      <c r="W26" s="24" t="n">
        <v>2933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0.03</v>
      </c>
      <c r="S27" s="20" t="s">
        <v>29</v>
      </c>
      <c r="U27" s="20" t="s">
        <v>23</v>
      </c>
      <c r="W27" s="24" t="n">
        <v>15000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0.02</v>
      </c>
      <c r="S28" s="20" t="s">
        <v>29</v>
      </c>
      <c r="U28" s="20" t="s">
        <v>23</v>
      </c>
      <c r="W28" s="24" t="n">
        <v>1150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1.98</v>
      </c>
      <c r="S29" s="20" t="s">
        <v>32</v>
      </c>
      <c r="U29" s="20" t="s">
        <v>23</v>
      </c>
      <c r="W29" s="24" t="n">
        <v>3605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33</v>
      </c>
      <c r="N30" s="19" t="s"/>
      <c r="P30" s="23" t="n">
        <v>0.025</v>
      </c>
      <c r="S30" s="20" t="s">
        <v>34</v>
      </c>
      <c r="U30" s="20" t="s">
        <v>23</v>
      </c>
      <c r="W30" s="24" t="n">
        <v>18050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35</v>
      </c>
      <c r="N31" s="19" t="s"/>
      <c r="P31" s="23" t="n">
        <v>0.025</v>
      </c>
      <c r="S31" s="20" t="s">
        <v>34</v>
      </c>
      <c r="U31" s="20" t="s">
        <v>23</v>
      </c>
      <c r="W31" s="24" t="n">
        <v>23750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36</v>
      </c>
      <c r="N32" s="19" t="s">
        <v>37</v>
      </c>
      <c r="P32" s="23" t="n">
        <v>30</v>
      </c>
      <c r="S32" s="20" t="s">
        <v>38</v>
      </c>
      <c r="U32" s="20" t="s">
        <v>23</v>
      </c>
      <c r="W32" s="24" t="s"/>
      <c r="AB32" s="24">
        <f>ROUND(P32*(AB30+AB31)/100,0)</f>
        <v/>
      </c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5" t="s">
        <v>23</v>
      </c>
      <c r="W33" s="20" t="n"/>
      <c r="AB33" s="26">
        <f>SUM(AB24:AB32)</f>
        <v/>
      </c>
      <c r="AC33" s="27" t="n"/>
      <c r="AD33" s="27" t="n"/>
      <c r="AE33" s="27" t="n"/>
      <c r="AF33" s="27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