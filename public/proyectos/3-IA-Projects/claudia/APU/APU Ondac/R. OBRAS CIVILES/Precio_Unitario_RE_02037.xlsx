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<sst xmlns="http://schemas.openxmlformats.org/spreadsheetml/2006/main" uniqueCount="36">
  <si>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</si>
  <si>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</si>
  <si>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</si>
  <si>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</si>
  <si>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</si>
  <si>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</si>
  <si>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</si>
  <si>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</si>
  <si>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</si>
  <si>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</si>
  <si>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</si>
  <si>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</si>
  <si>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</si>
  <si>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</si>
  <si>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</si>
  <si>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</si>
  <si>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</si>
  <si>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</si>
  <si>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</si>
  <si>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HORMIGON ESTRUCTURAL H30</t>
  </si>
  <si>
    <t>m3</t>
  </si>
  <si>
    <t>CAMION AGUA MACK ALGIBE</t>
  </si>
  <si>
    <t>hor</t>
  </si>
  <si>
    <t>$</t>
  </si>
  <si>
    <t>BETONERAS 11p C/TOLVAS ELEC</t>
  </si>
  <si>
    <t>mes</t>
  </si>
  <si>
    <t>CEMENTO POLPAICO 25 KG</t>
  </si>
  <si>
    <t>c/u</t>
  </si>
  <si>
    <t>RIPIO (flete 15km)</t>
  </si>
  <si>
    <t>ARENA PLANTA (FLETE 15KM)</t>
  </si>
  <si>
    <t>CONCRETERO</t>
  </si>
  <si>
    <t>dia</t>
  </si>
  <si>
    <t>MAESTRO DE SEGUNDA</t>
  </si>
  <si>
    <t>LEYES SOCIALES (O.C.)</t>
  </si>
  <si>
    <t>6,7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</si>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</sst>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ROUND(P23*AB32,0)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0.02</v>
      </c>
      <c r="S24" s="20" t="s">
        <v>22</v>
      </c>
      <c r="U24" s="20" t="s">
        <v>23</v>
      </c>
      <c r="W24" s="24" t="n">
        <v>8328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0.08</v>
      </c>
      <c r="S25" s="20" t="s">
        <v>25</v>
      </c>
      <c r="U25" s="20" t="s">
        <v>23</v>
      </c>
      <c r="W25" s="24" t="n">
        <v>237930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15.317</v>
      </c>
      <c r="S26" s="20" t="s">
        <v>27</v>
      </c>
      <c r="U26" s="20" t="s">
        <v>23</v>
      </c>
      <c r="W26" s="24" t="n">
        <v>2933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/>
      <c r="P27" s="23" t="n">
        <v>0.9</v>
      </c>
      <c r="S27" s="20" t="s">
        <v>20</v>
      </c>
      <c r="U27" s="20" t="s">
        <v>23</v>
      </c>
      <c r="W27" s="24" t="n">
        <v>15000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29</v>
      </c>
      <c r="N28" s="19" t="s"/>
      <c r="P28" s="23" t="n">
        <v>0.6</v>
      </c>
      <c r="S28" s="20" t="s">
        <v>20</v>
      </c>
      <c r="U28" s="20" t="s">
        <v>23</v>
      </c>
      <c r="W28" s="24" t="n">
        <v>1150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/>
      <c r="P29" s="23" t="n">
        <v>1</v>
      </c>
      <c r="S29" s="20" t="s">
        <v>31</v>
      </c>
      <c r="U29" s="20" t="s">
        <v>23</v>
      </c>
      <c r="W29" s="24" t="n">
        <v>24700</v>
      </c>
      <c r="AB29" s="24">
        <f>ROUND(P29*W29,0)</f>
        <v/>
      </c>
    </row>
    <row customHeight="1" ht="13.35" r="30" s="5" spans="1:35">
      <c r="C30" s="19" t="n"/>
      <c r="G30" s="20" t="n"/>
      <c r="H30" s="20" t="n">
        <v>7</v>
      </c>
      <c r="J30" s="21" t="s">
        <v>32</v>
      </c>
      <c r="N30" s="19" t="s"/>
      <c r="P30" s="23" t="n">
        <v>0.2</v>
      </c>
      <c r="S30" s="20" t="s">
        <v>31</v>
      </c>
      <c r="U30" s="20" t="s">
        <v>23</v>
      </c>
      <c r="W30" s="24" t="n">
        <v>23750</v>
      </c>
      <c r="AB30" s="24">
        <f>ROUND(P30*W30,0)</f>
        <v/>
      </c>
    </row>
    <row customHeight="1" ht="13.35" r="31" s="5" spans="1:35">
      <c r="C31" s="19" t="n"/>
      <c r="G31" s="20" t="n"/>
      <c r="H31" s="20" t="n">
        <v>8</v>
      </c>
      <c r="J31" s="21" t="s">
        <v>33</v>
      </c>
      <c r="N31" s="19" t="s">
        <v>34</v>
      </c>
      <c r="P31" s="23" t="n">
        <v>30</v>
      </c>
      <c r="S31" s="20" t="s">
        <v>35</v>
      </c>
      <c r="U31" s="20" t="s">
        <v>23</v>
      </c>
      <c r="W31" s="24" t="s"/>
      <c r="AB31" s="24">
        <f>ROUND(P31*(AB29+AB30)/100,0)</f>
        <v/>
      </c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5" t="s">
        <v>23</v>
      </c>
      <c r="W32" s="20" t="n"/>
      <c r="AB32" s="26">
        <f>SUM(AB24:AB31)</f>
        <v/>
      </c>
      <c r="AC32" s="27" t="n"/>
      <c r="AD32" s="27" t="n"/>
      <c r="AE32" s="27" t="n"/>
      <c r="AF32" s="27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