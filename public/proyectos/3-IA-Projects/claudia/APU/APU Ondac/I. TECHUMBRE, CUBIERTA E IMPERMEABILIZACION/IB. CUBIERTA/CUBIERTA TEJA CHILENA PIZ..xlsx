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<sst xmlns="http://schemas.openxmlformats.org/spreadsheetml/2006/main" uniqueCount="38">
  <si>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</si>
  <si>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</si>
  <si>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</si>
  <si>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</si>
  <si>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</si>
  <si>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</si>
  <si>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</si>
  <si>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</si>
  <si>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</si>
  <si>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</si>
  <si>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</si>
  <si>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</si>
  <si>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</si>
  <si>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</si>
  <si>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</si>
  <si>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</si>
  <si>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</si>
  <si>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</si>
  <si>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</si>
  <si>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CUBIERTA TEJA CHILENA PIZ.</t>
  </si>
  <si>
    <t>m2</t>
  </si>
  <si>
    <t>TEJA FIBROCEM CHILENA 98X118 CM, ROJO</t>
  </si>
  <si>
    <t>uni</t>
  </si>
  <si>
    <t>$</t>
  </si>
  <si>
    <t>TORNILLO TECHO CAB.RED.12X4.1/2 144UNI</t>
  </si>
  <si>
    <t>GOLILLA PLANA CALIBRADA 1/4" 100 UNIDADES ZBR</t>
  </si>
  <si>
    <t>c/u</t>
  </si>
  <si>
    <t>CABALLETE ART. CHILENA, MACHO, ROJO</t>
  </si>
  <si>
    <t>ARENA ESTUCO C/FLETE 15 KMS</t>
  </si>
  <si>
    <t>lit</t>
  </si>
  <si>
    <t>CEMENTO POLPAICO 25 KG</t>
  </si>
  <si>
    <t>PERDIDAS</t>
  </si>
  <si>
    <t>6</t>
  </si>
  <si>
    <t>%</t>
  </si>
  <si>
    <t>TEJERO + AYUD</t>
  </si>
  <si>
    <t>dia</t>
  </si>
  <si>
    <t>LEYES SOCIALES (O.E.)</t>
  </si>
  <si>
    <t>8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</si>
</sst>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ROUND(P23*AB33,0)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1.06</v>
      </c>
      <c r="S24" s="20" t="s">
        <v>22</v>
      </c>
      <c r="U24" s="20" t="s">
        <v>23</v>
      </c>
      <c r="W24" s="24" t="n">
        <v>7555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0.04</v>
      </c>
      <c r="S25" s="20" t="s">
        <v>22</v>
      </c>
      <c r="U25" s="20" t="s">
        <v>23</v>
      </c>
      <c r="W25" s="24" t="n">
        <v>1420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0.04</v>
      </c>
      <c r="S26" s="20" t="s">
        <v>26</v>
      </c>
      <c r="U26" s="20" t="s">
        <v>23</v>
      </c>
      <c r="W26" s="24" t="n">
        <v>2008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0.5</v>
      </c>
      <c r="S27" s="20" t="s">
        <v>22</v>
      </c>
      <c r="U27" s="20" t="s">
        <v>23</v>
      </c>
      <c r="W27" s="24" t="n">
        <v>4025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4</v>
      </c>
      <c r="S28" s="20" t="s">
        <v>29</v>
      </c>
      <c r="U28" s="20" t="s">
        <v>23</v>
      </c>
      <c r="W28" s="24" t="n">
        <v>16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0.0476</v>
      </c>
      <c r="S29" s="20" t="s">
        <v>26</v>
      </c>
      <c r="U29" s="20" t="s">
        <v>23</v>
      </c>
      <c r="W29" s="24" t="n">
        <v>2933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>
        <v>32</v>
      </c>
      <c r="P30" s="23" t="n">
        <v>15.8</v>
      </c>
      <c r="S30" s="20" t="s">
        <v>33</v>
      </c>
      <c r="U30" s="20" t="s">
        <v>23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/>
      <c r="P31" s="23" t="n">
        <v>0.1</v>
      </c>
      <c r="S31" s="20" t="s">
        <v>35</v>
      </c>
      <c r="U31" s="20" t="s">
        <v>23</v>
      </c>
      <c r="W31" s="24" t="n">
        <v>48450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36</v>
      </c>
      <c r="N32" s="19" t="s">
        <v>37</v>
      </c>
      <c r="P32" s="23" t="n">
        <v>29</v>
      </c>
      <c r="S32" s="20" t="s">
        <v>33</v>
      </c>
      <c r="U32" s="20" t="s">
        <v>23</v>
      </c>
      <c r="W32" s="24" t="s"/>
      <c r="AB32" s="24">
        <f>ROUND(P32*(AB31)/100,0)</f>
        <v/>
      </c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5" t="s">
        <v>23</v>
      </c>
      <c r="W33" s="20" t="n"/>
      <c r="AB33" s="26">
        <f>SUM(AB24:AB32)</f>
        <v/>
      </c>
      <c r="AC33" s="27" t="n"/>
      <c r="AD33" s="27" t="n"/>
      <c r="AE33" s="27" t="n"/>
      <c r="AF33" s="27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