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<sst xmlns="http://schemas.openxmlformats.org/spreadsheetml/2006/main" uniqueCount="34">
  <si>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</si>
  <si>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</si>
  <si>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</si>
  <si>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</si>
  <si>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</si>
  <si>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</si>
  <si>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</si>
  <si>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</si>
  <si>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</si>
  <si>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</si>
  <si>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</si>
  <si>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</si>
  <si>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</si>
  <si>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</si>
  <si>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</si>
  <si>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</si>
  <si>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</si>
  <si>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</si>
  <si>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</si>
  <si>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REVEST. ALERO 0.60 MT, PINO</t>
  </si>
  <si>
    <t>mt</t>
  </si>
  <si>
    <t xml:space="preserve">2X2" X 3.2M PINO DIMENSIONADO SECO </t>
  </si>
  <si>
    <t>c/u</t>
  </si>
  <si>
    <t>$</t>
  </si>
  <si>
    <t xml:space="preserve">3/4X4' X 3.20 M. MACHIHEMBRADO PINO SECO </t>
  </si>
  <si>
    <t>VARIOS</t>
  </si>
  <si>
    <t>2</t>
  </si>
  <si>
    <t>%</t>
  </si>
  <si>
    <t xml:space="preserve">CLAVO CORRIENTE 4", BALDE 15KGS. </t>
  </si>
  <si>
    <t xml:space="preserve">CLAVO CORRIENTE 2 1/2" </t>
  </si>
  <si>
    <t>CARPINTERO TERMINACION+AYUD</t>
  </si>
  <si>
    <t>dia</t>
  </si>
  <si>
    <t>LEYES SOCIALES (O.E.)</t>
  </si>
  <si>
    <t>6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</si>
</sst>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ROUND(P23*AB31,0)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1.2</v>
      </c>
      <c r="S24" s="20" t="s">
        <v>22</v>
      </c>
      <c r="U24" s="20" t="s">
        <v>23</v>
      </c>
      <c r="W24" s="24" t="n">
        <v>1193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3.3</v>
      </c>
      <c r="S25" s="20" t="s">
        <v>22</v>
      </c>
      <c r="U25" s="20" t="s">
        <v>23</v>
      </c>
      <c r="W25" s="24" t="n">
        <v>1168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>
        <v>26</v>
      </c>
      <c r="P26" s="23" t="n">
        <v>5</v>
      </c>
      <c r="S26" s="20" t="s">
        <v>27</v>
      </c>
      <c r="U26" s="20" t="s">
        <v>23</v>
      </c>
      <c r="W26" s="24" t="s"/>
      <c r="AB26" s="24">
        <f>ROUND(P26*(AB25)/100,0)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/>
      <c r="P27" s="23" t="n">
        <v>0.01</v>
      </c>
      <c r="S27" s="20" t="s">
        <v>22</v>
      </c>
      <c r="U27" s="20" t="s">
        <v>23</v>
      </c>
      <c r="W27" s="24" t="n">
        <v>12723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/>
      <c r="P28" s="23" t="n">
        <v>0.02</v>
      </c>
      <c r="S28" s="20" t="s">
        <v>22</v>
      </c>
      <c r="U28" s="20" t="s">
        <v>23</v>
      </c>
      <c r="W28" s="24" t="n">
        <v>2168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30</v>
      </c>
      <c r="N29" s="19" t="s"/>
      <c r="P29" s="23" t="n">
        <v>0.2</v>
      </c>
      <c r="S29" s="20" t="s">
        <v>31</v>
      </c>
      <c r="U29" s="20" t="s">
        <v>23</v>
      </c>
      <c r="W29" s="24" t="n">
        <v>47500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32</v>
      </c>
      <c r="N30" s="19" t="s">
        <v>33</v>
      </c>
      <c r="P30" s="23" t="n">
        <v>29</v>
      </c>
      <c r="S30" s="20" t="s">
        <v>27</v>
      </c>
      <c r="U30" s="20" t="s">
        <v>23</v>
      </c>
      <c r="W30" s="24" t="s"/>
      <c r="AB30" s="24">
        <f>ROUND(P30*(AB29)/100,0)</f>
        <v/>
      </c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5" t="s">
        <v>23</v>
      </c>
      <c r="W31" s="20" t="n"/>
      <c r="AB31" s="26">
        <f>SUM(AB24:AB30)</f>
        <v/>
      </c>
      <c r="AC31" s="27" t="n"/>
      <c r="AD31" s="27" t="n"/>
      <c r="AE31" s="27" t="n"/>
      <c r="AF31" s="27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