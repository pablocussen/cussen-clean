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<sst xmlns="http://schemas.openxmlformats.org/spreadsheetml/2006/main" uniqueCount="37">
  <si>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</si>
  <si>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</si>
  <si>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</si>
  <si>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</si>
  <si>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</si>
  <si>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</si>
  <si>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</si>
  <si>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</si>
  <si>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</si>
  <si>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</si>
  <si>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</si>
  <si>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</si>
  <si>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</si>
  <si>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</si>
  <si>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</si>
  <si>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</si>
  <si>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</si>
  <si>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</si>
  <si>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</si>
  <si>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CIELO PLACA FIBROSILICATO</t>
  </si>
  <si>
    <t>m2</t>
  </si>
  <si>
    <t>6M PERFIL C 2X3X0,85 METALCON ESTRUCTURAL METALCON</t>
  </si>
  <si>
    <t>c/u</t>
  </si>
  <si>
    <t>$</t>
  </si>
  <si>
    <t>6M PERFIL U 2X3X0,85 METALCON ESTRUCTURAL METALCON</t>
  </si>
  <si>
    <t>20X25X300 CM METALCOM CIELO PERFIL AT , CINTAC METALCON</t>
  </si>
  <si>
    <t>35X19X11,5X0,5MM X6ML TABIGAL PORTANTE METALCON</t>
  </si>
  <si>
    <t>FIBROSILICATO 1200X2400X12MM</t>
  </si>
  <si>
    <t>pla</t>
  </si>
  <si>
    <t>AUTOPERFORANTE CABEZA LENTEJA 8X3/4 100 UNIDADES MAMUT</t>
  </si>
  <si>
    <t>PERDIDAS</t>
  </si>
  <si>
    <t>1,2,3,4,5</t>
  </si>
  <si>
    <t>%</t>
  </si>
  <si>
    <t>CARPINTERO</t>
  </si>
  <si>
    <t>dia</t>
  </si>
  <si>
    <t>LEYES SOCIALES (O.E.)</t>
  </si>
  <si>
    <t>8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</si>
</sst>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ROUND(P23*AB33,0)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0.1</v>
      </c>
      <c r="S24" s="20" t="s">
        <v>22</v>
      </c>
      <c r="U24" s="20" t="s">
        <v>23</v>
      </c>
      <c r="W24" s="24" t="n">
        <v>5706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0.1</v>
      </c>
      <c r="S25" s="20" t="s">
        <v>22</v>
      </c>
      <c r="U25" s="20" t="s">
        <v>23</v>
      </c>
      <c r="W25" s="24" t="n">
        <v>4445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0.22</v>
      </c>
      <c r="S26" s="20" t="s">
        <v>22</v>
      </c>
      <c r="U26" s="20" t="s">
        <v>23</v>
      </c>
      <c r="W26" s="24" t="n">
        <v>1025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26</v>
      </c>
      <c r="N27" s="19" t="s"/>
      <c r="P27" s="23" t="n">
        <v>0.43</v>
      </c>
      <c r="S27" s="20" t="s">
        <v>22</v>
      </c>
      <c r="U27" s="20" t="s">
        <v>23</v>
      </c>
      <c r="W27" s="24" t="n">
        <v>2261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27</v>
      </c>
      <c r="N28" s="19" t="s"/>
      <c r="P28" s="23" t="n">
        <v>0.38</v>
      </c>
      <c r="S28" s="20" t="s">
        <v>28</v>
      </c>
      <c r="U28" s="20" t="s">
        <v>23</v>
      </c>
      <c r="W28" s="24" t="n">
        <v>28500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29</v>
      </c>
      <c r="N29" s="19" t="s"/>
      <c r="P29" s="23" t="n">
        <v>0.12</v>
      </c>
      <c r="S29" s="20" t="s">
        <v>22</v>
      </c>
      <c r="U29" s="20" t="s">
        <v>23</v>
      </c>
      <c r="W29" s="24" t="n">
        <v>1336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30</v>
      </c>
      <c r="N30" s="19" t="s">
        <v>31</v>
      </c>
      <c r="P30" s="23" t="n">
        <v>3</v>
      </c>
      <c r="S30" s="20" t="s">
        <v>32</v>
      </c>
      <c r="U30" s="20" t="s">
        <v>23</v>
      </c>
      <c r="W30" s="24" t="s"/>
      <c r="AB30" s="24">
        <f>ROUND(P30*(AB24+AB25+AB26+AB27+AB28)/100,0)</f>
        <v/>
      </c>
    </row>
    <row customHeight="1" ht="13.35" r="31" s="5" spans="1:35">
      <c r="C31" s="19" t="n"/>
      <c r="G31" s="20" t="n"/>
      <c r="H31" s="20" t="n">
        <v>8</v>
      </c>
      <c r="J31" s="21" t="s">
        <v>33</v>
      </c>
      <c r="N31" s="19" t="s"/>
      <c r="P31" s="23" t="n">
        <v>0.15</v>
      </c>
      <c r="S31" s="20" t="s">
        <v>34</v>
      </c>
      <c r="U31" s="20" t="s">
        <v>23</v>
      </c>
      <c r="W31" s="24" t="n">
        <v>27550</v>
      </c>
      <c r="AB31" s="24">
        <f>ROUND(P31*W31,0)</f>
        <v/>
      </c>
    </row>
    <row customHeight="1" ht="13.35" r="32" s="5" spans="1:35">
      <c r="C32" s="19" t="n"/>
      <c r="G32" s="20" t="n"/>
      <c r="H32" s="20" t="n">
        <v>9</v>
      </c>
      <c r="J32" s="21" t="s">
        <v>35</v>
      </c>
      <c r="N32" s="19" t="s">
        <v>36</v>
      </c>
      <c r="P32" s="23" t="n">
        <v>29</v>
      </c>
      <c r="S32" s="20" t="s">
        <v>32</v>
      </c>
      <c r="U32" s="20" t="s">
        <v>23</v>
      </c>
      <c r="W32" s="24" t="s"/>
      <c r="AB32" s="24">
        <f>ROUND(P32*(AB31)/100,0)</f>
        <v/>
      </c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5" t="s">
        <v>23</v>
      </c>
      <c r="W33" s="20" t="n"/>
      <c r="AB33" s="26">
        <f>SUM(AB24:AB32)</f>
        <v/>
      </c>
      <c r="AC33" s="27" t="n"/>
      <c r="AD33" s="27" t="n"/>
      <c r="AE33" s="27" t="n"/>
      <c r="AF33" s="27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