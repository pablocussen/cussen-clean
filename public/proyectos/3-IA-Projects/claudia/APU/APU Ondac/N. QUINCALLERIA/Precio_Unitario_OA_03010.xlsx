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<sst xmlns="http://schemas.openxmlformats.org/spreadsheetml/2006/main" uniqueCount="33">
  <si>
    <t>PÁGINA</t>
  </si>
  <si>
    <t>: 1</t>
  </si>
  <si>
    <t>FECHA PPTO</t>
  </si>
  <si>
    <t>: 19/05/2019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</si>
  <si>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</si>
  <si>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</si>
  <si>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</si>
  <si>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</si>
  <si>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</si>
  <si>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</si>
  <si>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</si>
  <si>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</si>
  <si>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</si>
  <si>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</si>
  <si>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</si>
  <si>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</si>
  <si>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</si>
  <si>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</si>
  <si>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</si>
  <si>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CANAL A.LLUVIA Fe GALV. 45cms e=0.5mm</t>
  </si>
  <si>
    <t>ml</t>
  </si>
  <si>
    <t>PL LISA GALVANIZADA 0.5X1000X3000 MM</t>
  </si>
  <si>
    <t>uni</t>
  </si>
  <si>
    <t>$</t>
  </si>
  <si>
    <t>PERDIDAS</t>
  </si>
  <si>
    <t>1</t>
  </si>
  <si>
    <t>%</t>
  </si>
  <si>
    <t>REMACHE T/POP 3.2X6 T1 1000UNI</t>
  </si>
  <si>
    <t>SOLDADURA CARRETE 50%-1/8 1/2 KILO</t>
  </si>
  <si>
    <t>HOJALATERO + AYUD</t>
  </si>
  <si>
    <t>dia</t>
  </si>
  <si>
    <t>LEYES SOCIALES (O.E.)</t>
  </si>
  <si>
    <t>5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</si>
</sst>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ROUND(P23*AB30,0)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0.15</v>
      </c>
      <c r="S24" s="20" t="s">
        <v>22</v>
      </c>
      <c r="U24" s="20" t="s">
        <v>23</v>
      </c>
      <c r="W24" s="24" t="n">
        <v>11756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>
        <v>25</v>
      </c>
      <c r="P25" s="23" t="n">
        <v>6</v>
      </c>
      <c r="S25" s="20" t="s">
        <v>26</v>
      </c>
      <c r="U25" s="20" t="s">
        <v>23</v>
      </c>
      <c r="W25" s="24" t="s"/>
      <c r="AB25" s="24">
        <f>ROUND(P25*(AB24)/100,0)</f>
        <v/>
      </c>
    </row>
    <row customHeight="1" ht="13.35" r="26" s="5" spans="1:35">
      <c r="C26" s="19" t="n"/>
      <c r="G26" s="20" t="n"/>
      <c r="H26" s="20" t="n">
        <v>3</v>
      </c>
      <c r="J26" s="21" t="s">
        <v>27</v>
      </c>
      <c r="N26" s="19" t="s"/>
      <c r="P26" s="23" t="n">
        <v>0.002</v>
      </c>
      <c r="S26" s="20" t="s">
        <v>22</v>
      </c>
      <c r="U26" s="20" t="s">
        <v>23</v>
      </c>
      <c r="W26" s="24" t="n">
        <v>14697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28</v>
      </c>
      <c r="N27" s="19" t="s"/>
      <c r="P27" s="23" t="n">
        <v>0.054</v>
      </c>
      <c r="S27" s="20" t="s">
        <v>22</v>
      </c>
      <c r="U27" s="20" t="s">
        <v>23</v>
      </c>
      <c r="W27" s="24" t="n">
        <v>8563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29</v>
      </c>
      <c r="N28" s="19" t="s"/>
      <c r="P28" s="23" t="n">
        <v>0.08</v>
      </c>
      <c r="S28" s="20" t="s">
        <v>30</v>
      </c>
      <c r="U28" s="20" t="s">
        <v>23</v>
      </c>
      <c r="W28" s="24" t="n">
        <v>47500</v>
      </c>
      <c r="AB28" s="24">
        <f>ROUND(P28*W28,0)</f>
        <v/>
      </c>
    </row>
    <row customHeight="1" ht="13.35" r="29" s="5" spans="1:35">
      <c r="C29" s="19" t="n"/>
      <c r="G29" s="20" t="n"/>
      <c r="H29" s="20" t="n">
        <v>6</v>
      </c>
      <c r="J29" s="21" t="s">
        <v>31</v>
      </c>
      <c r="N29" s="19" t="s">
        <v>32</v>
      </c>
      <c r="P29" s="23" t="n">
        <v>29</v>
      </c>
      <c r="S29" s="20" t="s">
        <v>26</v>
      </c>
      <c r="U29" s="20" t="s">
        <v>23</v>
      </c>
      <c r="W29" s="24" t="s"/>
      <c r="AB29" s="24">
        <f>ROUND(P29*(AB28)/100,0)</f>
        <v/>
      </c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5" t="s">
        <v>23</v>
      </c>
      <c r="W30" s="20" t="n"/>
      <c r="AB30" s="26">
        <f>SUM(AB24:AB29)</f>
        <v/>
      </c>
      <c r="AC30" s="27" t="n"/>
      <c r="AD30" s="27" t="n"/>
      <c r="AE30" s="27" t="n"/>
      <c r="AF30" s="27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