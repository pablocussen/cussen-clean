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<sst xmlns="http://schemas.openxmlformats.org/spreadsheetml/2006/main" uniqueCount="42">
  <si>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</si>
  <si>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</si>
  <si>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</si>
  <si>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</si>
  <si>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</si>
  <si>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</si>
  <si>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</si>
  <si>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</si>
  <si>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</si>
  <si>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</si>
  <si>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</si>
  <si>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</si>
  <si>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</si>
  <si>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</si>
  <si>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</si>
  <si>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</si>
  <si>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</si>
  <si>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</si>
  <si>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</si>
  <si>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INST.5 CENTROS 1 VIV.INT.30-40m2</t>
  </si>
  <si>
    <t>uni</t>
  </si>
  <si>
    <t>CAJA T/CHUQUI P/TUBO Y CANALE EN TE</t>
  </si>
  <si>
    <t>$</t>
  </si>
  <si>
    <t xml:space="preserve">CLAVO TERRANO 1" BOLSA 500GRS. </t>
  </si>
  <si>
    <t>c/u</t>
  </si>
  <si>
    <t xml:space="preserve">ROSETA DE MADERA REDONDA </t>
  </si>
  <si>
    <t xml:space="preserve">CLAVO CORRIENTE 1 1/2", BOLSA 1KG </t>
  </si>
  <si>
    <t xml:space="preserve">TARUGO CON TOPE M6 100 UNIDADES </t>
  </si>
  <si>
    <t>ROSCALATA RANURA COMBINADA 10X11/2 100UNI</t>
  </si>
  <si>
    <t>CONDUIT PVC C2 50 MM X 6 M.</t>
  </si>
  <si>
    <t>ALAMBRE SPR NYA/H07V-U 1.5M AZ 100 METROS NEXANS</t>
  </si>
  <si>
    <t>ABRAZADERA METÁLICA 5/8</t>
  </si>
  <si>
    <t xml:space="preserve">CLAVO CORRIENTE 1" </t>
  </si>
  <si>
    <t>MODULO INT 9/12 250V 10A BLANCO</t>
  </si>
  <si>
    <t>CASQUETE INT+TOMA CTE BLANCO GEN NEW</t>
  </si>
  <si>
    <t>ENCHUFE HEMBRA SOBREPUESTO</t>
  </si>
  <si>
    <t>INTERRUPTOR 20A TRIP.TERMOMAG.</t>
  </si>
  <si>
    <t>ELECTRICO 1°+ AYUD</t>
  </si>
  <si>
    <t>dia</t>
  </si>
  <si>
    <t>LEYES SOCIALES (O.E.)</t>
  </si>
  <si>
    <t>15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</si>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</sst>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ROUND(P23*AB40,0)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5</v>
      </c>
      <c r="S24" s="20" t="s">
        <v>20</v>
      </c>
      <c r="U24" s="20" t="s">
        <v>22</v>
      </c>
      <c r="W24" s="24" t="n">
        <v>605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0.01</v>
      </c>
      <c r="S25" s="20" t="s">
        <v>24</v>
      </c>
      <c r="U25" s="20" t="s">
        <v>22</v>
      </c>
      <c r="W25" s="24" t="n">
        <v>1252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7</v>
      </c>
      <c r="S26" s="20" t="s">
        <v>24</v>
      </c>
      <c r="U26" s="20" t="s">
        <v>22</v>
      </c>
      <c r="W26" s="24" t="n">
        <v>261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0.015</v>
      </c>
      <c r="S27" s="20" t="s">
        <v>24</v>
      </c>
      <c r="U27" s="20" t="s">
        <v>22</v>
      </c>
      <c r="W27" s="24" t="n">
        <v>1420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1</v>
      </c>
      <c r="S28" s="20" t="s">
        <v>24</v>
      </c>
      <c r="U28" s="20" t="s">
        <v>22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0.1</v>
      </c>
      <c r="S29" s="20" t="s">
        <v>20</v>
      </c>
      <c r="U29" s="20" t="s">
        <v>22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29</v>
      </c>
      <c r="N30" s="19" t="s"/>
      <c r="P30" s="23" t="n">
        <v>0.38</v>
      </c>
      <c r="S30" s="20" t="s">
        <v>24</v>
      </c>
      <c r="U30" s="20" t="s">
        <v>22</v>
      </c>
      <c r="W30" s="24" t="n">
        <v>4958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30</v>
      </c>
      <c r="N31" s="19" t="s"/>
      <c r="P31" s="23" t="n">
        <v>0.405</v>
      </c>
      <c r="S31" s="20" t="s">
        <v>24</v>
      </c>
      <c r="U31" s="20" t="s">
        <v>22</v>
      </c>
      <c r="W31" s="24" t="n">
        <v>9798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0.4</v>
      </c>
      <c r="S32" s="20" t="s">
        <v>24</v>
      </c>
      <c r="U32" s="20" t="s">
        <v>22</v>
      </c>
      <c r="W32" s="24" t="n">
        <v>2261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32</v>
      </c>
      <c r="N33" s="19" t="s"/>
      <c r="P33" s="23" t="n">
        <v>0.039</v>
      </c>
      <c r="S33" s="20" t="s">
        <v>24</v>
      </c>
      <c r="U33" s="20" t="s">
        <v>22</v>
      </c>
      <c r="W33" s="24" t="n">
        <v>2261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33</v>
      </c>
      <c r="N34" s="19" t="s"/>
      <c r="P34" s="23" t="n">
        <v>1</v>
      </c>
      <c r="S34" s="20" t="s">
        <v>20</v>
      </c>
      <c r="U34" s="20" t="s">
        <v>22</v>
      </c>
      <c r="W34" s="24" t="n">
        <v>714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34</v>
      </c>
      <c r="N35" s="19" t="s"/>
      <c r="P35" s="23" t="n">
        <v>3</v>
      </c>
      <c r="S35" s="20" t="s">
        <v>20</v>
      </c>
      <c r="U35" s="20" t="s">
        <v>22</v>
      </c>
      <c r="W35" s="24" t="n">
        <v>780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35</v>
      </c>
      <c r="N36" s="19" t="s"/>
      <c r="P36" s="23" t="n">
        <v>1</v>
      </c>
      <c r="S36" s="20" t="s">
        <v>20</v>
      </c>
      <c r="U36" s="20" t="s">
        <v>22</v>
      </c>
      <c r="W36" s="24" t="n">
        <v>1168</v>
      </c>
      <c r="AB36" s="24">
        <f>ROUND(P36*W36,0)</f>
        <v/>
      </c>
    </row>
    <row customHeight="1" ht="13.35" r="37" s="5" spans="1:35">
      <c r="C37" s="19" t="n"/>
      <c r="G37" s="20" t="n"/>
      <c r="H37" s="20" t="n">
        <v>14</v>
      </c>
      <c r="J37" s="21" t="s">
        <v>36</v>
      </c>
      <c r="N37" s="19" t="s"/>
      <c r="P37" s="23" t="n">
        <v>1</v>
      </c>
      <c r="S37" s="20" t="s">
        <v>20</v>
      </c>
      <c r="U37" s="20" t="s">
        <v>22</v>
      </c>
      <c r="W37" s="24" t="n">
        <v>24190</v>
      </c>
      <c r="AB37" s="24">
        <f>ROUND(P37*W37,0)</f>
        <v/>
      </c>
    </row>
    <row customHeight="1" ht="13.35" r="38" s="5" spans="1:35">
      <c r="C38" s="19" t="n"/>
      <c r="G38" s="20" t="n"/>
      <c r="H38" s="20" t="n">
        <v>15</v>
      </c>
      <c r="J38" s="21" t="s">
        <v>37</v>
      </c>
      <c r="N38" s="19" t="s"/>
      <c r="P38" s="23" t="n">
        <v>0.25</v>
      </c>
      <c r="S38" s="20" t="s">
        <v>38</v>
      </c>
      <c r="U38" s="20" t="s">
        <v>22</v>
      </c>
      <c r="W38" s="24" t="n">
        <v>48925</v>
      </c>
      <c r="AB38" s="24">
        <f>ROUND(P38*W38,0)</f>
        <v/>
      </c>
    </row>
    <row customHeight="1" ht="13.35" r="39" s="5" spans="1:35">
      <c r="C39" s="19" t="n"/>
      <c r="G39" s="20" t="n"/>
      <c r="H39" s="20" t="n">
        <v>16</v>
      </c>
      <c r="J39" s="21" t="s">
        <v>39</v>
      </c>
      <c r="N39" s="19" t="s">
        <v>40</v>
      </c>
      <c r="P39" s="23" t="n">
        <v>29</v>
      </c>
      <c r="S39" s="20" t="s">
        <v>41</v>
      </c>
      <c r="U39" s="20" t="s">
        <v>22</v>
      </c>
      <c r="W39" s="24" t="s"/>
      <c r="AB39" s="24">
        <f>ROUND(P39*(AB38)/100,0)</f>
        <v/>
      </c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5" t="s">
        <v>22</v>
      </c>
      <c r="W40" s="20" t="n"/>
      <c r="AB40" s="26">
        <f>SUM(AB24:AB39)</f>
        <v/>
      </c>
      <c r="AC40" s="27" t="n"/>
      <c r="AD40" s="27" t="n"/>
      <c r="AE40" s="27" t="n"/>
      <c r="AF40" s="27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