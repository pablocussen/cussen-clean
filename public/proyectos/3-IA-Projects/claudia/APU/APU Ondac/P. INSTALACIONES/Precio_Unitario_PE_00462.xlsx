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<sst xmlns="http://schemas.openxmlformats.org/spreadsheetml/2006/main" uniqueCount="36">
  <si>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</si>
  <si>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</si>
  <si>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</si>
  <si>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</si>
  <si>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</si>
  <si>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</si>
  <si>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</si>
  <si>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</si>
  <si>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</si>
  <si>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</si>
  <si>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</si>
  <si>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</si>
  <si>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</si>
  <si>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</si>
  <si>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</si>
  <si>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</si>
  <si>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</si>
  <si>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</si>
  <si>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</si>
  <si>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CALEFONT 14 LTS. G.N. AUTOMATICO</t>
  </si>
  <si>
    <t>uni</t>
  </si>
  <si>
    <t>CALEFONT 14 LTS C/ENC. GN</t>
  </si>
  <si>
    <t>$</t>
  </si>
  <si>
    <t>1/2" SO-SO CODO BRONCE HUMBOLDT</t>
  </si>
  <si>
    <t>c/u</t>
  </si>
  <si>
    <t>CAÑERIA COBRE TIPO L 1/2' X 6MTS</t>
  </si>
  <si>
    <t>LLAVE PASO LIVIANA 1/2" SO SO VERDE</t>
  </si>
  <si>
    <t>LLAVE DE PASO GAS HI-HE 1/2 X 1/2</t>
  </si>
  <si>
    <t>TERMINAL CU HE/SO 1/2X1/2</t>
  </si>
  <si>
    <t>1/2' HE-HI FLEXIBLE PARA AGUA 30 CM HUMBOLDT</t>
  </si>
  <si>
    <t>SOLDADURA CARRETE 50%-1/8 1/2 KILO</t>
  </si>
  <si>
    <t>GASFITER PRIMERA</t>
  </si>
  <si>
    <t>dia</t>
  </si>
  <si>
    <t>LEYES SOCIALES (O.E.)</t>
  </si>
  <si>
    <t>9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</si>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</sst>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ROUND(P23*AB34,0)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180664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4</v>
      </c>
      <c r="S25" s="20" t="s">
        <v>24</v>
      </c>
      <c r="U25" s="20" t="s">
        <v>22</v>
      </c>
      <c r="W25" s="24" t="n">
        <v>454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0.25</v>
      </c>
      <c r="S26" s="20" t="s">
        <v>20</v>
      </c>
      <c r="U26" s="20" t="s">
        <v>22</v>
      </c>
      <c r="W26" s="24" t="n">
        <v>13790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1</v>
      </c>
      <c r="S27" s="20" t="s">
        <v>20</v>
      </c>
      <c r="U27" s="20" t="s">
        <v>22</v>
      </c>
      <c r="W27" s="24" t="n">
        <v>1303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/>
      <c r="P28" s="23" t="n">
        <v>1</v>
      </c>
      <c r="S28" s="20" t="s">
        <v>24</v>
      </c>
      <c r="U28" s="20" t="s">
        <v>22</v>
      </c>
      <c r="W28" s="24" t="n">
        <v>3605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28</v>
      </c>
      <c r="N29" s="19" t="s"/>
      <c r="P29" s="23" t="n">
        <v>2</v>
      </c>
      <c r="S29" s="20" t="s">
        <v>20</v>
      </c>
      <c r="U29" s="20" t="s">
        <v>22</v>
      </c>
      <c r="W29" s="24" t="n">
        <v>479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29</v>
      </c>
      <c r="N30" s="19" t="s"/>
      <c r="P30" s="23" t="n">
        <v>2</v>
      </c>
      <c r="S30" s="20" t="s">
        <v>24</v>
      </c>
      <c r="U30" s="20" t="s">
        <v>22</v>
      </c>
      <c r="W30" s="24" t="n">
        <v>3269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30</v>
      </c>
      <c r="N31" s="19" t="s"/>
      <c r="P31" s="23" t="n">
        <v>0.2</v>
      </c>
      <c r="S31" s="20" t="s">
        <v>20</v>
      </c>
      <c r="U31" s="20" t="s">
        <v>22</v>
      </c>
      <c r="W31" s="24" t="n">
        <v>8563</v>
      </c>
      <c r="AB31" s="24">
        <f>ROUND(P31*W31,0)</f>
        <v/>
      </c>
    </row>
    <row customHeight="1" ht="13.35" r="32" s="5" spans="1:35">
      <c r="C32" s="19" t="n"/>
      <c r="G32" s="20" t="n"/>
      <c r="H32" s="20" t="n">
        <v>9</v>
      </c>
      <c r="J32" s="21" t="s">
        <v>31</v>
      </c>
      <c r="N32" s="19" t="s"/>
      <c r="P32" s="23" t="n">
        <v>0.4</v>
      </c>
      <c r="S32" s="20" t="s">
        <v>32</v>
      </c>
      <c r="U32" s="20" t="s">
        <v>22</v>
      </c>
      <c r="W32" s="24" t="n">
        <v>30875</v>
      </c>
      <c r="AB32" s="24">
        <f>ROUND(P32*W32,0)</f>
        <v/>
      </c>
    </row>
    <row customHeight="1" ht="13.35" r="33" s="5" spans="1:35">
      <c r="C33" s="19" t="n"/>
      <c r="G33" s="20" t="n"/>
      <c r="H33" s="20" t="n">
        <v>10</v>
      </c>
      <c r="J33" s="21" t="s">
        <v>33</v>
      </c>
      <c r="N33" s="19" t="s">
        <v>34</v>
      </c>
      <c r="P33" s="23" t="n">
        <v>29</v>
      </c>
      <c r="S33" s="20" t="s">
        <v>35</v>
      </c>
      <c r="U33" s="20" t="s">
        <v>22</v>
      </c>
      <c r="W33" s="24" t="s"/>
      <c r="AB33" s="24">
        <f>ROUND(P33*(AB32)/100,0)</f>
        <v/>
      </c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5" t="s">
        <v>22</v>
      </c>
      <c r="W34" s="20" t="n"/>
      <c r="AB34" s="26">
        <f>SUM(AB24:AB33)</f>
        <v/>
      </c>
      <c r="AC34" s="27" t="n"/>
      <c r="AD34" s="27" t="n"/>
      <c r="AE34" s="27" t="n"/>
      <c r="AF34" s="27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