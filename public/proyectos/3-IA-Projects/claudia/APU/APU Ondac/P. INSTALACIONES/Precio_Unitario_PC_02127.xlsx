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>
  <workbookPr/>
  <bookViews>
    <workbookView activeTab="0" autoFilterDateGrouping="1" firstSheet="0" minimized="0" showHorizontalScroll="1" showSheetTabs="1" showVerticalScroll="1" tabRatio="600" visibility="visible" windowHeight="9990" windowWidth="16140" xWindow="285" yWindow="135"/>
  </bookViews>
  <sheets>
    <sheet xmlns:r="http://schemas.openxmlformats.org/officeDocument/2006/relationships" name="RptPreciosUnitariosSimples" sheetId="1" state="visible" r:id="rId1"/>
  </sheets>
  <definedNames/>
  <calcPr calcId="145621" fullCalcOnLoad="1"/>
</workbook>
</file>

<file path=xl/sharedStrings.xml><?xml version="1.0" encoding="utf-8"?>
<sst xmlns="http://schemas.openxmlformats.org/spreadsheetml/2006/main" uniqueCount="41">
  <si>
    <t>PÁGINA</t>
  </si>
  <si>
    <t>: 1</t>
  </si>
  <si>
    <t>FECHA PPTO</t>
  </si>
  <si>
    <t>: 19/05/2019</t>
  </si>
  <si>
    <t>FECHA INFORME</t>
  </si>
  <si>
    <t xml:space="preserve">: </t>
  </si>
  <si>
    <t>CÓDIGO</t>
  </si>
  <si>
    <t>:</t>
  </si>
  <si>
    <t>PRECIOS UNITARIOS SIMPLES</t>
  </si>
  <si>
    <t>Presupuesto Notrasnoches</t>
  </si>
  <si>
    <t>ITEM</t>
  </si>
  <si>
    <t xml:space="preserve">     SUB ACT</t>
  </si>
  <si>
    <t>DESCRIPCIÓN</t>
  </si>
  <si>
    <t xml:space="preserve">CANTIDAD  </t>
  </si>
  <si>
    <t>UNID</t>
  </si>
  <si>
    <t xml:space="preserve">P.UNITARIO  </t>
  </si>
  <si>
    <t xml:space="preserve">TOTAL       </t>
  </si>
  <si>
    <t>Proveedor</t>
  </si>
  <si>
    <t>0.0.-</t>
  </si>
  <si>
    <t>INST.14 CENTROS 1 VIV.INT.60m2</t>
  </si>
  <si>
    <t>uni</t>
  </si>
  <si>
    <t>CAJA T/CHUQUI P/TUBO Y CANALE EN TE</t>
  </si>
  <si>
    <t>$</t>
  </si>
  <si>
    <t xml:space="preserve">CLAVO TERRANO 1" BOLSA 500GRS. </t>
  </si>
  <si>
    <t>c/u</t>
  </si>
  <si>
    <t xml:space="preserve">ROSETA DE MADERA REDONDA </t>
  </si>
  <si>
    <t xml:space="preserve">CLAVO CORRIENTE 1 1/2", BOLSA 1KG </t>
  </si>
  <si>
    <t xml:space="preserve">TARUGO CON TOPE M6 100 UNIDADES </t>
  </si>
  <si>
    <t>ROSCALATA RANURA COMBINADA 10X11/2 100UNI</t>
  </si>
  <si>
    <t>CONDUIT PVC C2 50 MM X 6 M.</t>
  </si>
  <si>
    <t>ALAMBRE SPR NYA/H07V-U 1.5M AZ 100 METROS NEXANS</t>
  </si>
  <si>
    <t>ABRAZADERA METÁLICA 5/8</t>
  </si>
  <si>
    <t>MODULO INT 9/12 250V 10A BLANCO</t>
  </si>
  <si>
    <t>CASQUETE INT+TOMA CTE BLANCO GEN NEW</t>
  </si>
  <si>
    <t>ENCHUFE HEMBRA SOBREPUESTO</t>
  </si>
  <si>
    <t>INTERRUPTOR 20A TRIP.TERMOMAG.</t>
  </si>
  <si>
    <t>ELECTRICO 1°+ AYUD</t>
  </si>
  <si>
    <t>dia</t>
  </si>
  <si>
    <t>LEYES SOCIALES (O.E.)</t>
  </si>
  <si>
    <t>14</t>
  </si>
  <si>
    <t>%</t>
  </si>
</sst>
</file>

<file path=xl/styles.xml><?xml version="1.0" encoding="utf-8"?>
<styleSheet xmlns="http://schemas.openxmlformats.org/spreadsheetml/2006/main">
  <numFmts count="1">
    <numFmt formatCode="0.000000" numFmtId="164"/>
  </numFmts>
  <fonts count="6">
    <font>
      <name val="Arial"/>
      <sz val="10"/>
    </font>
    <font>
      <name val="Century Gothic"/>
      <charset val="1"/>
      <b val="1"/>
      <color indexed="8"/>
      <sz val="7"/>
    </font>
    <font>
      <name val="Century Gothic"/>
      <charset val="1"/>
      <color indexed="8"/>
      <sz val="7"/>
    </font>
    <font>
      <name val="Century Gothic"/>
      <charset val="1"/>
      <color indexed="8"/>
      <sz val="10"/>
    </font>
    <font>
      <name val="Century Gothic"/>
      <family val="2"/>
      <sz val="7"/>
    </font>
    <font>
      <name val="Century Gothic"/>
      <sz val="8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/>
      <bottom/>
      <diagonal/>
    </border>
  </borders>
  <cellStyleXfs count="1">
    <xf borderId="0" fillId="0" fontId="0" numFmtId="0"/>
  </cellStyleXfs>
  <cellXfs count="28">
    <xf borderId="0" fillId="0" fontId="0" numFmtId="0" pivotButton="0" quotePrefix="0" xfId="0"/>
    <xf applyAlignment="1" applyProtection="1" borderId="0" fillId="0" fontId="2" numFmtId="0" pivotButton="0" quotePrefix="0" xfId="0">
      <alignment horizontal="right" readingOrder="1" vertical="center" wrapText="1"/>
      <protection hidden="0" locked="0"/>
    </xf>
    <xf applyAlignment="1" applyProtection="1" borderId="4" fillId="0" fontId="4" numFmtId="0" pivotButton="0" quotePrefix="0" xfId="0">
      <alignment horizontal="right" vertical="center" wrapText="1"/>
      <protection hidden="0" locked="0"/>
    </xf>
    <xf borderId="0" fillId="0" fontId="0" numFmtId="0" pivotButton="0" quotePrefix="0" xfId="0"/>
    <xf applyAlignment="1" applyProtection="1" borderId="0" fillId="0" fontId="2" numFmtId="0" pivotButton="0" quotePrefix="0" xfId="0">
      <alignment horizontal="right" readingOrder="1" vertical="center" wrapText="1"/>
      <protection hidden="0" locked="0"/>
    </xf>
    <xf borderId="0" fillId="0" fontId="0" numFmtId="0" pivotButton="0" quotePrefix="0" xfId="0"/>
    <xf applyAlignment="1" applyProtection="1" borderId="0" fillId="0" fontId="1" numFmtId="0" pivotButton="0" quotePrefix="0" xfId="0">
      <alignment horizontal="left" readingOrder="1" vertical="top" wrapText="1"/>
      <protection hidden="0" locked="0"/>
    </xf>
    <xf applyAlignment="1" applyProtection="1" borderId="0" fillId="0" fontId="2" numFmtId="0" pivotButton="0" quotePrefix="0" xfId="0">
      <alignment horizontal="left" readingOrder="1" vertical="top" wrapText="1"/>
      <protection hidden="0" locked="0"/>
    </xf>
    <xf applyAlignment="1" applyProtection="1" borderId="0" fillId="0" fontId="3" numFmtId="0" pivotButton="0" quotePrefix="0" xfId="0">
      <alignment horizontal="center" readingOrder="1" vertical="top" wrapText="1"/>
      <protection hidden="0" locked="0"/>
    </xf>
    <xf applyAlignment="1" applyProtection="1" borderId="1" fillId="0" fontId="1" numFmtId="0" pivotButton="0" quotePrefix="0" xfId="0">
      <alignment horizontal="left" readingOrder="1" vertical="center" wrapText="1"/>
      <protection hidden="0" locked="0"/>
    </xf>
    <xf applyAlignment="1" applyProtection="1" borderId="2" fillId="0" fontId="0" numFmtId="0" pivotButton="0" quotePrefix="0" xfId="0">
      <alignment vertical="top" wrapText="1"/>
      <protection hidden="0" locked="0"/>
    </xf>
    <xf applyAlignment="1" applyProtection="1" borderId="1" fillId="0" fontId="1" numFmtId="0" pivotButton="0" quotePrefix="0" xfId="0">
      <alignment readingOrder="1" vertical="center" wrapText="1"/>
      <protection hidden="0" locked="0"/>
    </xf>
    <xf applyAlignment="1" applyProtection="1" borderId="1" fillId="0" fontId="1" numFmtId="0" pivotButton="0" quotePrefix="0" xfId="0">
      <alignment horizontal="right" readingOrder="1" vertical="center" wrapText="1"/>
      <protection hidden="0" locked="0"/>
    </xf>
    <xf applyAlignment="1" applyProtection="1" borderId="3" fillId="0" fontId="1" numFmtId="0" pivotButton="0" quotePrefix="0" xfId="0">
      <alignment horizontal="right" readingOrder="1" vertical="center" wrapText="1"/>
      <protection hidden="0" locked="0"/>
    </xf>
    <xf applyAlignment="1" applyProtection="1" borderId="4" fillId="0" fontId="0" numFmtId="0" pivotButton="0" quotePrefix="0" xfId="0">
      <alignment vertical="top" wrapText="1"/>
      <protection hidden="0" locked="0"/>
    </xf>
    <xf applyAlignment="1" applyProtection="1" borderId="4" fillId="0" fontId="1" numFmtId="0" pivotButton="0" quotePrefix="0" xfId="0">
      <alignment horizontal="right" readingOrder="1" vertical="center" wrapText="1"/>
      <protection hidden="0" locked="0"/>
    </xf>
    <xf applyAlignment="1" applyProtection="1" borderId="0" fillId="0" fontId="1" numFmtId="0" pivotButton="0" quotePrefix="0" xfId="0">
      <alignment horizontal="left" readingOrder="1" vertical="center" wrapText="1"/>
      <protection hidden="0" locked="0"/>
    </xf>
    <xf applyAlignment="1" applyProtection="1" borderId="0" fillId="0" fontId="1" numFmtId="0" pivotButton="0" quotePrefix="0" xfId="0">
      <alignment readingOrder="1" vertical="center" wrapText="1"/>
      <protection hidden="0" locked="0"/>
    </xf>
    <xf applyAlignment="1" applyProtection="1" borderId="0" fillId="0" fontId="1" numFmtId="0" pivotButton="0" quotePrefix="0" xfId="0">
      <alignment horizontal="right" readingOrder="1" vertical="center" wrapText="1"/>
      <protection hidden="0" locked="0"/>
    </xf>
    <xf applyAlignment="1" applyProtection="1" borderId="0" fillId="0" fontId="2" numFmtId="0" pivotButton="0" quotePrefix="0" xfId="0">
      <alignment horizontal="center" readingOrder="1" vertical="center" wrapText="1"/>
      <protection hidden="0" locked="0"/>
    </xf>
    <xf applyAlignment="1" applyProtection="1" borderId="0" fillId="0" fontId="2" numFmtId="0" pivotButton="0" quotePrefix="0" xfId="0">
      <alignment horizontal="right" readingOrder="1" vertical="center" wrapText="1"/>
      <protection hidden="0" locked="0"/>
    </xf>
    <xf applyAlignment="1" applyProtection="1" borderId="0" fillId="0" fontId="2" numFmtId="0" pivotButton="0" quotePrefix="0" xfId="0">
      <alignment readingOrder="1" vertical="center" wrapText="1"/>
      <protection hidden="0" locked="0"/>
    </xf>
    <xf applyAlignment="1" applyProtection="1" borderId="0" fillId="0" fontId="1" numFmtId="3" pivotButton="0" quotePrefix="0" xfId="0">
      <alignment horizontal="right" readingOrder="1" vertical="center" wrapText="1"/>
      <protection hidden="0" locked="0"/>
    </xf>
    <xf applyAlignment="1" applyProtection="1" borderId="0" fillId="0" fontId="2" numFmtId="164" pivotButton="0" quotePrefix="0" xfId="0">
      <alignment horizontal="right" readingOrder="1" vertical="center" wrapText="1"/>
      <protection hidden="0" locked="0"/>
    </xf>
    <xf applyAlignment="1" applyProtection="1" borderId="0" fillId="0" fontId="2" numFmtId="3" pivotButton="0" quotePrefix="0" xfId="0">
      <alignment horizontal="right" readingOrder="1" vertical="center" wrapText="1"/>
      <protection hidden="0" locked="0"/>
    </xf>
    <xf applyAlignment="1" applyProtection="1" borderId="0" fillId="0" fontId="5" numFmtId="0" pivotButton="0" quotePrefix="0" xfId="0">
      <alignment horizontal="right" readingOrder="1" vertical="center" wrapText="1"/>
      <protection hidden="0" locked="0"/>
    </xf>
    <xf applyAlignment="1" applyProtection="1" borderId="5" fillId="0" fontId="5" numFmtId="3" pivotButton="0" quotePrefix="0" xfId="0">
      <alignment horizontal="right" readingOrder="1" vertical="center" wrapText="1"/>
      <protection hidden="0" locked="0"/>
    </xf>
    <xf borderId="5" fillId="0" fontId="5" numFmtId="0" pivotButton="0" quotePrefix="0" xfId="0"/>
  </cellXfs>
  <cellStyles count="1">
    <cellStyle builtinId="0" name="Normal" xfId="0"/>
  </cellStyles>
  <tableStyles count="0" defaultPivotStyle="PivotStyleLight16" defaultTableStyle="TableStyleMedium2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/><Relationship Id="rId2" Target="sharedStrings.xml" Type="http://schemas.openxmlformats.org/officeDocument/2006/relationships/sharedStrings"/><Relationship Id="rId3" Target="styles.xml" Type="http://schemas.openxmlformats.org/officeDocument/2006/relationships/styles"/><Relationship Id="rId4" Target="theme/theme1.xml" Type="http://schemas.openxmlformats.org/officeDocument/2006/relationships/theme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AI43"/>
  <sheetViews>
    <sheetView showGridLines="0" tabSelected="1" workbookViewId="0">
      <pane activePane="bottomLeft" state="frozenSplit" topLeftCell="A23" ySplit="22"/>
      <selection activeCell="S34" pane="bottomLeft" sqref="S34:T34"/>
    </sheetView>
  </sheetViews>
  <sheetFormatPr baseColWidth="10" defaultColWidth="9.140625" defaultRowHeight="12.75" outlineLevelCol="0"/>
  <cols>
    <col customWidth="1" max="1" min="1" style="5" width="2.5703125"/>
    <col customWidth="1" hidden="1" max="2" min="2" style="5"/>
    <col customWidth="1" max="3" min="3" style="5" width="2.7109375"/>
    <col customWidth="1" max="4" min="4" style="5" width="0.28515625"/>
    <col customWidth="1" max="5" min="5" style="5" width="1.140625"/>
    <col customWidth="1" hidden="1" max="6" min="6" style="5"/>
    <col customWidth="1" max="7" min="7" style="5" width="5.42578125"/>
    <col customWidth="1" max="8" min="8" style="5" width="4.85546875"/>
    <col customWidth="1" hidden="1" max="9" min="9" style="5"/>
    <col customWidth="1" max="10" min="10" style="5" width="15.140625"/>
    <col customWidth="1" max="11" min="11" style="5" width="14.7109375"/>
    <col customWidth="1" hidden="1" max="13" min="12" style="5"/>
    <col customWidth="1" max="14" min="14" style="5" width="4.28515625"/>
    <col customWidth="1" hidden="1" max="15" min="15" style="5"/>
    <col customWidth="1" max="16" min="16" style="5" width="10"/>
    <col customWidth="1" hidden="1" max="18" min="17" style="5"/>
    <col customWidth="1" max="19" min="19" style="5" width="4"/>
    <col customWidth="1" hidden="1" max="20" min="20" style="5"/>
    <col customWidth="1" max="21" min="21" style="5" width="4"/>
    <col customWidth="1" hidden="1" max="22" min="22" style="5"/>
    <col customWidth="1" max="23" min="23" style="5" width="3.140625"/>
    <col customWidth="1" hidden="1" max="24" min="24" style="5"/>
    <col customWidth="1" max="25" min="25" style="5" width="7.140625"/>
    <col customWidth="1" hidden="1" max="27" min="26" style="5"/>
    <col customWidth="1" max="28" min="28" style="5" width="2.85546875"/>
    <col customWidth="1" max="29" min="29" style="5" width="0.140625"/>
    <col customWidth="1" max="30" min="30" style="5" width="0.7109375"/>
    <col customWidth="1" hidden="1" max="31" min="31" style="5"/>
    <col customWidth="1" max="32" min="32" style="5" width="9.28515625"/>
    <col customWidth="1" hidden="1" max="34" min="33" style="5"/>
  </cols>
  <sheetData>
    <row customHeight="1" ht="9" r="1" s="5" spans="1:35"/>
    <row customHeight="1" ht="10.5" r="2" s="5" spans="1:35">
      <c r="X2" s="6" t="s">
        <v>0</v>
      </c>
      <c r="AE2" s="7" t="s">
        <v>1</v>
      </c>
    </row>
    <row customHeight="1" ht="0.2" r="3" s="5" spans="1:35"/>
    <row customHeight="1" ht="10.5" r="4" s="5" spans="1:35">
      <c r="Y4" s="6" t="s">
        <v>2</v>
      </c>
      <c r="AF4" s="7" t="s">
        <v>3</v>
      </c>
    </row>
    <row customHeight="1" ht="0.95" r="5" s="5" spans="1:35"/>
    <row customHeight="1" ht="10.5" r="6" s="5" spans="1:35">
      <c r="Y6" s="6" t="s">
        <v>4</v>
      </c>
      <c r="AF6" s="7" t="s">
        <v>5</v>
      </c>
    </row>
    <row customHeight="1" ht="1.15" r="7" s="5" spans="1:35"/>
    <row customHeight="1" ht="10.5" r="8" s="5" spans="1:35">
      <c r="Y8" s="6" t="s">
        <v>6</v>
      </c>
      <c r="AF8" s="7" t="s">
        <v>7</v>
      </c>
    </row>
    <row customHeight="1" ht="15.2" r="9" s="5" spans="1:35"/>
    <row customHeight="1" ht="25.15" r="10" s="5" spans="1:35"/>
    <row customHeight="1" ht="17.1" r="11" s="5" spans="1:35">
      <c r="E11" s="8" t="s">
        <v>8</v>
      </c>
    </row>
    <row customHeight="1" ht="3.6" r="12" s="5" spans="1:35"/>
    <row customHeight="1" ht="17.1" r="13" s="5" spans="1:35">
      <c r="E13" s="8" t="s">
        <v>9</v>
      </c>
    </row>
    <row customHeight="1" ht="3.6" r="14" s="5" spans="1:35"/>
    <row customHeight="1" ht="17.1" r="15" s="5" spans="1:35">
      <c r="E15" s="8" t="n"/>
    </row>
    <row customHeight="1" ht="4.15" r="16" s="5" spans="1:35"/>
    <row customHeight="1" ht="17.1" r="17" s="5" spans="1:35">
      <c r="E17" s="8" t="n"/>
    </row>
    <row customHeight="1" ht="4.5" r="18" s="5" spans="1:35"/>
    <row customHeight="1" ht="1.35" r="19" s="5" spans="1:35"/>
    <row customHeight="1" ht="17.1" r="20" s="5" spans="1:35">
      <c r="B20" s="9" t="s">
        <v>10</v>
      </c>
      <c r="F20" s="9" t="s">
        <v>11</v>
      </c>
      <c r="I20" s="11" t="s">
        <v>12</v>
      </c>
      <c r="M20" s="11" t="s">
        <v>10</v>
      </c>
      <c r="O20" s="12" t="s">
        <v>13</v>
      </c>
      <c r="R20" s="12" t="s">
        <v>14</v>
      </c>
      <c r="T20" s="12" t="n"/>
      <c r="V20" s="13" t="s">
        <v>15</v>
      </c>
      <c r="AA20" s="15" t="s">
        <v>16</v>
      </c>
      <c r="AI20" s="2" t="s">
        <v>17</v>
      </c>
    </row>
    <row customHeight="1" ht="1.5" r="21" s="5" spans="1:35"/>
    <row customHeight="1" ht="2.25" r="22" s="5" spans="1:35"/>
    <row customHeight="1" ht="14.85" r="23" s="5" spans="1:35">
      <c r="C23" s="16" t="s">
        <v>18</v>
      </c>
      <c r="J23" s="17" t="s">
        <v>19</v>
      </c>
      <c r="N23" s="17" t="n"/>
      <c r="P23" s="18" t="n"/>
      <c r="S23" s="18" t="s">
        <v>20</v>
      </c>
      <c r="U23" s="18" t="n"/>
      <c r="W23" s="18" t="n"/>
      <c r="AB23" s="22">
        <f>ROUND(P23*AB39,0)</f>
        <v/>
      </c>
    </row>
    <row customHeight="1" ht="13.35" r="24" s="5" spans="1:35">
      <c r="C24" s="19" t="n"/>
      <c r="G24" s="20" t="n"/>
      <c r="H24" s="20" t="n">
        <v>1</v>
      </c>
      <c r="J24" s="21" t="s">
        <v>21</v>
      </c>
      <c r="N24" s="19" t="s"/>
      <c r="P24" s="23" t="n">
        <v>7</v>
      </c>
      <c r="S24" s="20" t="s">
        <v>20</v>
      </c>
      <c r="U24" s="20" t="s">
        <v>22</v>
      </c>
      <c r="W24" s="24" t="n">
        <v>605</v>
      </c>
      <c r="AB24" s="24">
        <f>ROUND(P24*W24,0)</f>
        <v/>
      </c>
    </row>
    <row customHeight="1" ht="13.35" r="25" s="5" spans="1:35">
      <c r="C25" s="19" t="n"/>
      <c r="G25" s="20" t="n"/>
      <c r="H25" s="20" t="n">
        <v>2</v>
      </c>
      <c r="J25" s="21" t="s">
        <v>23</v>
      </c>
      <c r="N25" s="19" t="s"/>
      <c r="P25" s="23" t="n">
        <v>0.056</v>
      </c>
      <c r="S25" s="20" t="s">
        <v>24</v>
      </c>
      <c r="U25" s="20" t="s">
        <v>22</v>
      </c>
      <c r="W25" s="24" t="n">
        <v>1252</v>
      </c>
      <c r="AB25" s="24">
        <f>ROUND(P25*W25,0)</f>
        <v/>
      </c>
    </row>
    <row customHeight="1" ht="13.35" r="26" s="5" spans="1:35">
      <c r="C26" s="19" t="n"/>
      <c r="G26" s="20" t="n"/>
      <c r="H26" s="20" t="n">
        <v>3</v>
      </c>
      <c r="J26" s="21" t="s">
        <v>25</v>
      </c>
      <c r="N26" s="19" t="s"/>
      <c r="P26" s="23" t="n">
        <v>12</v>
      </c>
      <c r="S26" s="20" t="s">
        <v>24</v>
      </c>
      <c r="U26" s="20" t="s">
        <v>22</v>
      </c>
      <c r="W26" s="24" t="n">
        <v>261</v>
      </c>
      <c r="AB26" s="24">
        <f>ROUND(P26*W26,0)</f>
        <v/>
      </c>
    </row>
    <row customHeight="1" ht="13.35" r="27" s="5" spans="1:35">
      <c r="C27" s="19" t="n"/>
      <c r="G27" s="20" t="n"/>
      <c r="H27" s="20" t="n">
        <v>4</v>
      </c>
      <c r="J27" s="21" t="s">
        <v>26</v>
      </c>
      <c r="N27" s="19" t="s"/>
      <c r="P27" s="23" t="n">
        <v>0.148</v>
      </c>
      <c r="S27" s="20" t="s">
        <v>24</v>
      </c>
      <c r="U27" s="20" t="s">
        <v>22</v>
      </c>
      <c r="W27" s="24" t="n">
        <v>1420</v>
      </c>
      <c r="AB27" s="24">
        <f>ROUND(P27*W27,0)</f>
        <v/>
      </c>
    </row>
    <row customHeight="1" ht="13.35" r="28" s="5" spans="1:35">
      <c r="C28" s="19" t="n"/>
      <c r="G28" s="20" t="n"/>
      <c r="H28" s="20" t="n">
        <v>5</v>
      </c>
      <c r="J28" s="21" t="s">
        <v>27</v>
      </c>
      <c r="N28" s="19" t="s"/>
      <c r="P28" s="23" t="n">
        <v>0.03</v>
      </c>
      <c r="S28" s="20" t="s">
        <v>24</v>
      </c>
      <c r="U28" s="20" t="s">
        <v>22</v>
      </c>
      <c r="W28" s="24" t="n">
        <v>4193</v>
      </c>
      <c r="AB28" s="24">
        <f>ROUND(P28*W28,0)</f>
        <v/>
      </c>
    </row>
    <row customHeight="1" ht="13.35" r="29" s="5" spans="1:35">
      <c r="C29" s="19" t="n"/>
      <c r="G29" s="20" t="n"/>
      <c r="H29" s="20" t="n">
        <v>6</v>
      </c>
      <c r="J29" s="21" t="s">
        <v>28</v>
      </c>
      <c r="N29" s="19" t="s"/>
      <c r="P29" s="23" t="n">
        <v>0.3</v>
      </c>
      <c r="S29" s="20" t="s">
        <v>20</v>
      </c>
      <c r="U29" s="20" t="s">
        <v>22</v>
      </c>
      <c r="W29" s="24" t="n">
        <v>1588</v>
      </c>
      <c r="AB29" s="24">
        <f>ROUND(P29*W29,0)</f>
        <v/>
      </c>
    </row>
    <row customHeight="1" ht="13.35" r="30" s="5" spans="1:35">
      <c r="C30" s="19" t="n"/>
      <c r="G30" s="20" t="n"/>
      <c r="H30" s="20" t="n">
        <v>7</v>
      </c>
      <c r="J30" s="21" t="s">
        <v>29</v>
      </c>
      <c r="N30" s="19" t="s"/>
      <c r="P30" s="23" t="n">
        <v>1.18</v>
      </c>
      <c r="S30" s="20" t="s">
        <v>24</v>
      </c>
      <c r="U30" s="20" t="s">
        <v>22</v>
      </c>
      <c r="W30" s="24" t="n">
        <v>4958</v>
      </c>
      <c r="AB30" s="24">
        <f>ROUND(P30*W30,0)</f>
        <v/>
      </c>
    </row>
    <row customHeight="1" ht="13.35" r="31" s="5" spans="1:35">
      <c r="C31" s="19" t="n"/>
      <c r="G31" s="20" t="n"/>
      <c r="H31" s="20" t="n">
        <v>8</v>
      </c>
      <c r="J31" s="21" t="s">
        <v>30</v>
      </c>
      <c r="N31" s="19" t="s"/>
      <c r="P31" s="23" t="n">
        <v>1.275</v>
      </c>
      <c r="S31" s="20" t="s">
        <v>24</v>
      </c>
      <c r="U31" s="20" t="s">
        <v>22</v>
      </c>
      <c r="W31" s="24" t="n">
        <v>9798</v>
      </c>
      <c r="AB31" s="24">
        <f>ROUND(P31*W31,0)</f>
        <v/>
      </c>
    </row>
    <row customHeight="1" ht="13.35" r="32" s="5" spans="1:35">
      <c r="C32" s="19" t="n"/>
      <c r="G32" s="20" t="n"/>
      <c r="H32" s="20" t="n">
        <v>9</v>
      </c>
      <c r="J32" s="21" t="s">
        <v>31</v>
      </c>
      <c r="N32" s="19" t="s"/>
      <c r="P32" s="23" t="n">
        <v>1.27</v>
      </c>
      <c r="S32" s="20" t="s">
        <v>24</v>
      </c>
      <c r="U32" s="20" t="s">
        <v>22</v>
      </c>
      <c r="W32" s="24" t="n">
        <v>2261</v>
      </c>
      <c r="AB32" s="24">
        <f>ROUND(P32*W32,0)</f>
        <v/>
      </c>
    </row>
    <row customHeight="1" ht="13.35" r="33" s="5" spans="1:35">
      <c r="C33" s="19" t="n"/>
      <c r="G33" s="20" t="n"/>
      <c r="H33" s="20" t="n">
        <v>10</v>
      </c>
      <c r="J33" s="21" t="s">
        <v>32</v>
      </c>
      <c r="N33" s="19" t="s"/>
      <c r="P33" s="23" t="n">
        <v>3</v>
      </c>
      <c r="S33" s="20" t="s">
        <v>20</v>
      </c>
      <c r="U33" s="20" t="s">
        <v>22</v>
      </c>
      <c r="W33" s="24" t="n">
        <v>714</v>
      </c>
      <c r="AB33" s="24">
        <f>ROUND(P33*W33,0)</f>
        <v/>
      </c>
    </row>
    <row customHeight="1" ht="13.35" r="34" s="5" spans="1:35">
      <c r="C34" s="19" t="n"/>
      <c r="G34" s="20" t="n"/>
      <c r="H34" s="20" t="n">
        <v>11</v>
      </c>
      <c r="J34" s="21" t="s">
        <v>33</v>
      </c>
      <c r="N34" s="19" t="s"/>
      <c r="P34" s="23" t="n">
        <v>2</v>
      </c>
      <c r="S34" s="20" t="s">
        <v>20</v>
      </c>
      <c r="U34" s="20" t="s">
        <v>22</v>
      </c>
      <c r="W34" s="24" t="n">
        <v>780</v>
      </c>
      <c r="AB34" s="24">
        <f>ROUND(P34*W34,0)</f>
        <v/>
      </c>
    </row>
    <row customHeight="1" ht="13.35" r="35" s="5" spans="1:35">
      <c r="C35" s="19" t="n"/>
      <c r="G35" s="20" t="n"/>
      <c r="H35" s="20" t="n">
        <v>12</v>
      </c>
      <c r="J35" s="21" t="s">
        <v>34</v>
      </c>
      <c r="N35" s="19" t="s"/>
      <c r="P35" s="23" t="n">
        <v>5</v>
      </c>
      <c r="S35" s="20" t="s">
        <v>20</v>
      </c>
      <c r="U35" s="20" t="s">
        <v>22</v>
      </c>
      <c r="W35" s="24" t="n">
        <v>1168</v>
      </c>
      <c r="AB35" s="24">
        <f>ROUND(P35*W35,0)</f>
        <v/>
      </c>
    </row>
    <row customHeight="1" ht="13.35" r="36" s="5" spans="1:35">
      <c r="C36" s="19" t="n"/>
      <c r="G36" s="20" t="n"/>
      <c r="H36" s="20" t="n">
        <v>13</v>
      </c>
      <c r="J36" s="21" t="s">
        <v>35</v>
      </c>
      <c r="N36" s="19" t="s"/>
      <c r="P36" s="23" t="n">
        <v>1</v>
      </c>
      <c r="S36" s="20" t="s">
        <v>20</v>
      </c>
      <c r="U36" s="20" t="s">
        <v>22</v>
      </c>
      <c r="W36" s="24" t="n">
        <v>24190</v>
      </c>
      <c r="AB36" s="24">
        <f>ROUND(P36*W36,0)</f>
        <v/>
      </c>
    </row>
    <row customHeight="1" ht="13.35" r="37" s="5" spans="1:35">
      <c r="C37" s="19" t="n"/>
      <c r="G37" s="20" t="n"/>
      <c r="H37" s="20" t="n">
        <v>14</v>
      </c>
      <c r="J37" s="21" t="s">
        <v>36</v>
      </c>
      <c r="N37" s="19" t="s"/>
      <c r="P37" s="23" t="n">
        <v>1</v>
      </c>
      <c r="S37" s="20" t="s">
        <v>37</v>
      </c>
      <c r="U37" s="20" t="s">
        <v>22</v>
      </c>
      <c r="W37" s="24" t="n">
        <v>48925</v>
      </c>
      <c r="AB37" s="24">
        <f>ROUND(P37*W37,0)</f>
        <v/>
      </c>
    </row>
    <row customHeight="1" ht="13.35" r="38" s="5" spans="1:35">
      <c r="C38" s="19" t="n"/>
      <c r="G38" s="20" t="n"/>
      <c r="H38" s="20" t="n">
        <v>15</v>
      </c>
      <c r="J38" s="21" t="s">
        <v>38</v>
      </c>
      <c r="N38" s="19" t="s">
        <v>39</v>
      </c>
      <c r="P38" s="23" t="n">
        <v>29</v>
      </c>
      <c r="S38" s="20" t="s">
        <v>40</v>
      </c>
      <c r="U38" s="20" t="s">
        <v>22</v>
      </c>
      <c r="W38" s="24" t="s"/>
      <c r="AB38" s="24">
        <f>ROUND(P38*(AB37)/100,0)</f>
        <v/>
      </c>
    </row>
    <row customHeight="1" ht="13.35" r="39" s="5" spans="1:35">
      <c r="C39" s="19" t="n"/>
      <c r="G39" s="20" t="n"/>
      <c r="H39" s="20" t="n"/>
      <c r="J39" s="21" t="n"/>
      <c r="N39" s="19" t="n"/>
      <c r="P39" s="20" t="n"/>
      <c r="S39" s="20" t="n"/>
      <c r="U39" s="25" t="s">
        <v>22</v>
      </c>
      <c r="W39" s="20" t="n"/>
      <c r="AB39" s="26">
        <f>SUM(AB24:AB38)</f>
        <v/>
      </c>
      <c r="AC39" s="27" t="n"/>
      <c r="AD39" s="27" t="n"/>
      <c r="AE39" s="27" t="n"/>
      <c r="AF39" s="27" t="n"/>
    </row>
    <row customHeight="1" ht="13.35" r="40" s="5" spans="1:35">
      <c r="C40" s="19" t="n"/>
      <c r="G40" s="20" t="n"/>
      <c r="H40" s="20" t="n"/>
      <c r="J40" s="21" t="n"/>
      <c r="N40" s="19" t="n"/>
      <c r="P40" s="20" t="n"/>
      <c r="S40" s="20" t="n"/>
      <c r="U40" s="20" t="n"/>
      <c r="W40" s="20" t="n"/>
      <c r="AB40" s="20" t="n"/>
    </row>
    <row customHeight="1" ht="13.35" r="41" s="5" spans="1:35">
      <c r="C41" s="19" t="n"/>
      <c r="G41" s="20" t="n"/>
      <c r="H41" s="20" t="n"/>
      <c r="J41" s="21" t="n"/>
      <c r="N41" s="19" t="n"/>
      <c r="P41" s="20" t="n"/>
      <c r="S41" s="20" t="n"/>
      <c r="U41" s="20" t="n"/>
      <c r="W41" s="20" t="n"/>
      <c r="AB41" s="20" t="n"/>
    </row>
    <row customHeight="1" ht="13.35" r="42" s="5" spans="1:35">
      <c r="C42" s="19" t="n"/>
      <c r="G42" s="20" t="n"/>
      <c r="H42" s="20" t="n"/>
      <c r="J42" s="21" t="n"/>
      <c r="N42" s="19" t="n"/>
      <c r="P42" s="20" t="n"/>
      <c r="S42" s="20" t="n"/>
      <c r="U42" s="20" t="n"/>
      <c r="W42" s="20" t="n"/>
      <c r="AB42" s="20" t="n"/>
    </row>
    <row customHeight="1" ht="13.35" r="43" s="5" spans="1:35">
      <c r="C43" s="19" t="n"/>
      <c r="G43" s="20" t="n"/>
      <c r="H43" s="20" t="n"/>
      <c r="J43" s="21" t="n"/>
      <c r="N43" s="19" t="n"/>
      <c r="P43" s="20" t="n"/>
      <c r="S43" s="20" t="n"/>
      <c r="U43" s="20" t="n"/>
      <c r="W43" s="20" t="n"/>
      <c r="AB43" s="20" t="n"/>
    </row>
  </sheetData>
  <mergeCells count="210">
    <mergeCell ref="C43:F43"/>
    <mergeCell ref="H43:I43"/>
    <mergeCell ref="J43:M43"/>
    <mergeCell ref="N43:O43"/>
    <mergeCell ref="P43:R43"/>
    <mergeCell ref="S43:T43"/>
    <mergeCell ref="U43:V43"/>
    <mergeCell ref="W43:AA43"/>
    <mergeCell ref="AB43:AH43"/>
    <mergeCell ref="C42:F42"/>
    <mergeCell ref="H42:I42"/>
    <mergeCell ref="J42:M42"/>
    <mergeCell ref="N42:O42"/>
    <mergeCell ref="P42:R42"/>
    <mergeCell ref="S42:T42"/>
    <mergeCell ref="U42:V42"/>
    <mergeCell ref="W42:AA42"/>
    <mergeCell ref="AB42:AH42"/>
    <mergeCell ref="C41:F41"/>
    <mergeCell ref="H41:I41"/>
    <mergeCell ref="J41:M41"/>
    <mergeCell ref="N41:O41"/>
    <mergeCell ref="P41:R41"/>
    <mergeCell ref="S41:T41"/>
    <mergeCell ref="U41:V41"/>
    <mergeCell ref="W41:AA41"/>
    <mergeCell ref="AB41:AH41"/>
    <mergeCell ref="C40:F40"/>
    <mergeCell ref="H40:I40"/>
    <mergeCell ref="J40:M40"/>
    <mergeCell ref="N40:O40"/>
    <mergeCell ref="P40:R40"/>
    <mergeCell ref="S40:T40"/>
    <mergeCell ref="U40:V40"/>
    <mergeCell ref="W40:AA40"/>
    <mergeCell ref="AB40:AH40"/>
    <mergeCell ref="C39:F39"/>
    <mergeCell ref="H39:I39"/>
    <mergeCell ref="J39:M39"/>
    <mergeCell ref="N39:O39"/>
    <mergeCell ref="P39:R39"/>
    <mergeCell ref="S39:T39"/>
    <mergeCell ref="U39:V39"/>
    <mergeCell ref="W39:AA39"/>
    <mergeCell ref="AB39:AH39"/>
    <mergeCell ref="C38:F38"/>
    <mergeCell ref="H38:I38"/>
    <mergeCell ref="J38:M38"/>
    <mergeCell ref="N38:O38"/>
    <mergeCell ref="P38:R38"/>
    <mergeCell ref="S38:T38"/>
    <mergeCell ref="U38:V38"/>
    <mergeCell ref="W38:AA38"/>
    <mergeCell ref="AB38:AH38"/>
    <mergeCell ref="C37:F37"/>
    <mergeCell ref="H37:I37"/>
    <mergeCell ref="J37:M37"/>
    <mergeCell ref="N37:O37"/>
    <mergeCell ref="P37:R37"/>
    <mergeCell ref="S37:T37"/>
    <mergeCell ref="U37:V37"/>
    <mergeCell ref="W37:AA37"/>
    <mergeCell ref="AB37:AH37"/>
    <mergeCell ref="C36:F36"/>
    <mergeCell ref="H36:I36"/>
    <mergeCell ref="J36:M36"/>
    <mergeCell ref="N36:O36"/>
    <mergeCell ref="P36:R36"/>
    <mergeCell ref="S36:T36"/>
    <mergeCell ref="U36:V36"/>
    <mergeCell ref="W36:AA36"/>
    <mergeCell ref="AB36:AH36"/>
    <mergeCell ref="C35:F35"/>
    <mergeCell ref="H35:I35"/>
    <mergeCell ref="J35:M35"/>
    <mergeCell ref="N35:O35"/>
    <mergeCell ref="P35:R35"/>
    <mergeCell ref="S35:T35"/>
    <mergeCell ref="U35:V35"/>
    <mergeCell ref="W35:AA35"/>
    <mergeCell ref="AB35:AH35"/>
    <mergeCell ref="C34:F34"/>
    <mergeCell ref="H34:I34"/>
    <mergeCell ref="J34:M34"/>
    <mergeCell ref="N34:O34"/>
    <mergeCell ref="P34:R34"/>
    <mergeCell ref="S34:T34"/>
    <mergeCell ref="U34:V34"/>
    <mergeCell ref="W34:AA34"/>
    <mergeCell ref="AB34:AH34"/>
    <mergeCell ref="C33:F33"/>
    <mergeCell ref="H33:I33"/>
    <mergeCell ref="J33:M33"/>
    <mergeCell ref="N33:O33"/>
    <mergeCell ref="P33:R33"/>
    <mergeCell ref="S33:T33"/>
    <mergeCell ref="U33:V33"/>
    <mergeCell ref="W33:AA33"/>
    <mergeCell ref="AB33:AH33"/>
    <mergeCell ref="C32:F32"/>
    <mergeCell ref="H32:I32"/>
    <mergeCell ref="J32:M32"/>
    <mergeCell ref="N32:O32"/>
    <mergeCell ref="P32:R32"/>
    <mergeCell ref="S32:T32"/>
    <mergeCell ref="U32:V32"/>
    <mergeCell ref="W32:AA32"/>
    <mergeCell ref="AB32:AH32"/>
    <mergeCell ref="C31:F31"/>
    <mergeCell ref="H31:I31"/>
    <mergeCell ref="J31:M31"/>
    <mergeCell ref="N31:O31"/>
    <mergeCell ref="P31:R31"/>
    <mergeCell ref="S31:T31"/>
    <mergeCell ref="U31:V31"/>
    <mergeCell ref="W31:AA31"/>
    <mergeCell ref="AB31:AH31"/>
    <mergeCell ref="C30:F30"/>
    <mergeCell ref="H30:I30"/>
    <mergeCell ref="J30:M30"/>
    <mergeCell ref="N30:O30"/>
    <mergeCell ref="P30:R30"/>
    <mergeCell ref="S30:T30"/>
    <mergeCell ref="U30:V30"/>
    <mergeCell ref="W30:AA30"/>
    <mergeCell ref="AB30:AH30"/>
    <mergeCell ref="C29:F29"/>
    <mergeCell ref="H29:I29"/>
    <mergeCell ref="J29:M29"/>
    <mergeCell ref="N29:O29"/>
    <mergeCell ref="P29:R29"/>
    <mergeCell ref="S29:T29"/>
    <mergeCell ref="U29:V29"/>
    <mergeCell ref="W29:AA29"/>
    <mergeCell ref="AB29:AH29"/>
    <mergeCell ref="C28:F28"/>
    <mergeCell ref="H28:I28"/>
    <mergeCell ref="J28:M28"/>
    <mergeCell ref="N28:O28"/>
    <mergeCell ref="P28:R28"/>
    <mergeCell ref="S28:T28"/>
    <mergeCell ref="U28:V28"/>
    <mergeCell ref="W28:AA28"/>
    <mergeCell ref="AB28:AH28"/>
    <mergeCell ref="C27:F27"/>
    <mergeCell ref="H27:I27"/>
    <mergeCell ref="J27:M27"/>
    <mergeCell ref="N27:O27"/>
    <mergeCell ref="P27:R27"/>
    <mergeCell ref="S27:T27"/>
    <mergeCell ref="U27:V27"/>
    <mergeCell ref="W27:AA27"/>
    <mergeCell ref="AB27:AH27"/>
    <mergeCell ref="C26:F26"/>
    <mergeCell ref="H26:I26"/>
    <mergeCell ref="J26:M26"/>
    <mergeCell ref="N26:O26"/>
    <mergeCell ref="P26:R26"/>
    <mergeCell ref="S26:T26"/>
    <mergeCell ref="U26:V26"/>
    <mergeCell ref="W26:AA26"/>
    <mergeCell ref="AB26:AH26"/>
    <mergeCell ref="C25:F25"/>
    <mergeCell ref="H25:I25"/>
    <mergeCell ref="J25:M25"/>
    <mergeCell ref="N25:O25"/>
    <mergeCell ref="P25:R25"/>
    <mergeCell ref="S25:T25"/>
    <mergeCell ref="U25:V25"/>
    <mergeCell ref="W25:AA25"/>
    <mergeCell ref="AB25:AH25"/>
    <mergeCell ref="C23:I23"/>
    <mergeCell ref="J23:M23"/>
    <mergeCell ref="N23:O23"/>
    <mergeCell ref="P23:R23"/>
    <mergeCell ref="S23:T23"/>
    <mergeCell ref="U23:V23"/>
    <mergeCell ref="W23:AA23"/>
    <mergeCell ref="AB23:AH23"/>
    <mergeCell ref="C24:F24"/>
    <mergeCell ref="H24:I24"/>
    <mergeCell ref="J24:M24"/>
    <mergeCell ref="N24:O24"/>
    <mergeCell ref="P24:R24"/>
    <mergeCell ref="S24:T24"/>
    <mergeCell ref="U24:V24"/>
    <mergeCell ref="W24:AA24"/>
    <mergeCell ref="AB24:AH24"/>
    <mergeCell ref="E11:AH11"/>
    <mergeCell ref="E13:AH13"/>
    <mergeCell ref="E15:AH15"/>
    <mergeCell ref="E17:AH17"/>
    <mergeCell ref="B20:E20"/>
    <mergeCell ref="F20:H20"/>
    <mergeCell ref="I20:K20"/>
    <mergeCell ref="M20:N20"/>
    <mergeCell ref="O20:P20"/>
    <mergeCell ref="R20:S20"/>
    <mergeCell ref="T20:U20"/>
    <mergeCell ref="V20:Y20"/>
    <mergeCell ref="AA20:AF20"/>
    <mergeCell ref="E2:J9"/>
    <mergeCell ref="X2:AB2"/>
    <mergeCell ref="AE2:AH2"/>
    <mergeCell ref="Y4:AC4"/>
    <mergeCell ref="AF4:AH4"/>
    <mergeCell ref="Y6:AC6"/>
    <mergeCell ref="AF6:AH6"/>
    <mergeCell ref="Y8:AC8"/>
    <mergeCell ref="AF8:AH8"/>
  </mergeCells>
  <pageMargins bottom="0.7874015748031497" footer="0.7874015748031497" header="0.1968503937007874" left="0.1968503937007874" right="0.1968503937007874" top="0.1968503937007874"/>
  <pageSetup horizontalDpi="0" orientation="portrait" verticalDpi="0"/>
  <headerFooter alignWithMargins="0">
    <oddHeader/>
    <oddFooter>&amp;L&amp;C&amp;R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</Application>
  <AppVersion>2.5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2015-10-12T21:21:02Z</dcterms:created>
  <dcterms:modified xmlns:dcterms="http://purl.org/dc/terms/" xmlns:xsi="http://www.w3.org/2001/XMLSchema-instance" xsi:type="dcterms:W3CDTF">2015-10-13T00:20:17Z</dcterms:modified>
</cp:coreProperties>
</file>