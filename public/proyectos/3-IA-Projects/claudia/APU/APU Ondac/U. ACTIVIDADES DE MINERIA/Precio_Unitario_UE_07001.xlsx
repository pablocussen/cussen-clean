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<sst xmlns="http://schemas.openxmlformats.org/spreadsheetml/2006/main" uniqueCount="39">
  <si>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</si>
  <si>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</si>
  <si>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</si>
  <si>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</si>
  <si>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</si>
  <si>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</si>
  <si>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</si>
  <si>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</si>
  <si>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</si>
  <si>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</si>
  <si>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</si>
  <si>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</si>
  <si>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</si>
  <si>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</si>
  <si>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</si>
  <si>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</si>
  <si>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</si>
  <si>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</si>
  <si>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</si>
  <si>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INSTALACION ELECTRICA PARA MODULOS (MIN)</t>
  </si>
  <si>
    <t>m2</t>
  </si>
  <si>
    <t>CAJA T/CHUQUI P/TUBO Y CANALE EN TE</t>
  </si>
  <si>
    <t>uni</t>
  </si>
  <si>
    <t>$</t>
  </si>
  <si>
    <t>TORNILLO 6X1 PBH S NEGRO PACK 1000UNI</t>
  </si>
  <si>
    <t>ROSCALATA RANURA COMBINADA 10X11/2 100UNI</t>
  </si>
  <si>
    <t>CONDUIT PVC C2 50 MM X 6 M.</t>
  </si>
  <si>
    <t>c/u</t>
  </si>
  <si>
    <t>CABLE THHN 14AWG AZUL METRO LINEAL</t>
  </si>
  <si>
    <t>ml</t>
  </si>
  <si>
    <t>ABRAZADERA METÁLICA 5/8</t>
  </si>
  <si>
    <t xml:space="preserve">ENCHUFE SIMPLE 10/16 TECH LIVINGLINGHT </t>
  </si>
  <si>
    <t>ENCHUFE HEMBRA SOBREPUESTO</t>
  </si>
  <si>
    <t>INTERRUPTOR 20A TRIP.TERMOMAG.</t>
  </si>
  <si>
    <t>ELECTRICO 1°+ M2 ELECTRICO MINERIA</t>
  </si>
  <si>
    <t>dia</t>
  </si>
  <si>
    <t>LEYES SOCIALES (MIN)</t>
  </si>
  <si>
    <t>10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</si>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</sst>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ROUND(P23*AB35,0)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5</v>
      </c>
      <c r="S24" s="20" t="s">
        <v>22</v>
      </c>
      <c r="U24" s="20" t="s">
        <v>23</v>
      </c>
      <c r="W24" s="24" t="n">
        <v>605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0.001</v>
      </c>
      <c r="S25" s="20" t="s">
        <v>22</v>
      </c>
      <c r="U25" s="20" t="s">
        <v>23</v>
      </c>
      <c r="W25" s="24" t="n">
        <v>4541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0.01</v>
      </c>
      <c r="S26" s="20" t="s">
        <v>22</v>
      </c>
      <c r="U26" s="20" t="s">
        <v>23</v>
      </c>
      <c r="W26" s="24" t="n">
        <v>1588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0.38</v>
      </c>
      <c r="S27" s="20" t="s">
        <v>27</v>
      </c>
      <c r="U27" s="20" t="s">
        <v>23</v>
      </c>
      <c r="W27" s="24" t="n">
        <v>4958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0.4</v>
      </c>
      <c r="S28" s="20" t="s">
        <v>29</v>
      </c>
      <c r="U28" s="20" t="s">
        <v>23</v>
      </c>
      <c r="W28" s="24" t="n">
        <v>193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0.4</v>
      </c>
      <c r="S29" s="20" t="s">
        <v>27</v>
      </c>
      <c r="U29" s="20" t="s">
        <v>23</v>
      </c>
      <c r="W29" s="24" t="n">
        <v>2261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31</v>
      </c>
      <c r="N30" s="19" t="s"/>
      <c r="P30" s="23" t="n">
        <v>2</v>
      </c>
      <c r="S30" s="20" t="s">
        <v>27</v>
      </c>
      <c r="U30" s="20" t="s">
        <v>23</v>
      </c>
      <c r="W30" s="24" t="n">
        <v>8815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32</v>
      </c>
      <c r="N31" s="19" t="s"/>
      <c r="P31" s="23" t="n">
        <v>1</v>
      </c>
      <c r="S31" s="20" t="s">
        <v>22</v>
      </c>
      <c r="U31" s="20" t="s">
        <v>23</v>
      </c>
      <c r="W31" s="24" t="n">
        <v>1168</v>
      </c>
      <c r="AB31" s="24">
        <f>ROUND(P31*W31,0)</f>
        <v/>
      </c>
    </row>
    <row customHeight="1" ht="13.35" r="32" s="5" spans="1:35">
      <c r="C32" s="19" t="n"/>
      <c r="G32" s="20" t="n"/>
      <c r="H32" s="20" t="n">
        <v>9</v>
      </c>
      <c r="J32" s="21" t="s">
        <v>33</v>
      </c>
      <c r="N32" s="19" t="s"/>
      <c r="P32" s="23" t="n">
        <v>1</v>
      </c>
      <c r="S32" s="20" t="s">
        <v>22</v>
      </c>
      <c r="U32" s="20" t="s">
        <v>23</v>
      </c>
      <c r="W32" s="24" t="n">
        <v>24190</v>
      </c>
      <c r="AB32" s="24">
        <f>ROUND(P32*W32,0)</f>
        <v/>
      </c>
    </row>
    <row customHeight="1" ht="13.35" r="33" s="5" spans="1:35">
      <c r="C33" s="19" t="n"/>
      <c r="G33" s="20" t="n"/>
      <c r="H33" s="20" t="n">
        <v>10</v>
      </c>
      <c r="J33" s="21" t="s">
        <v>34</v>
      </c>
      <c r="N33" s="19" t="s"/>
      <c r="P33" s="23" t="n">
        <v>0.25</v>
      </c>
      <c r="S33" s="20" t="s">
        <v>35</v>
      </c>
      <c r="U33" s="20" t="s">
        <v>23</v>
      </c>
      <c r="W33" s="24" t="n">
        <v>73625</v>
      </c>
      <c r="AB33" s="24">
        <f>ROUND(P33*W33,0)</f>
        <v/>
      </c>
    </row>
    <row customHeight="1" ht="13.35" r="34" s="5" spans="1:35">
      <c r="C34" s="19" t="n"/>
      <c r="G34" s="20" t="n"/>
      <c r="H34" s="20" t="n">
        <v>11</v>
      </c>
      <c r="J34" s="21" t="s">
        <v>36</v>
      </c>
      <c r="N34" s="19" t="s">
        <v>37</v>
      </c>
      <c r="P34" s="23" t="n">
        <v>48</v>
      </c>
      <c r="S34" s="20" t="s">
        <v>38</v>
      </c>
      <c r="U34" s="20" t="s">
        <v>23</v>
      </c>
      <c r="W34" s="24" t="s"/>
      <c r="AB34" s="24">
        <f>ROUND(P34*(AB33)/100,0)</f>
        <v/>
      </c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5" t="s">
        <v>23</v>
      </c>
      <c r="W35" s="20" t="n"/>
      <c r="AB35" s="26">
        <f>SUM(AB24:AB34)</f>
        <v/>
      </c>
      <c r="AC35" s="27" t="n"/>
      <c r="AD35" s="27" t="n"/>
      <c r="AE35" s="27" t="n"/>
      <c r="AF35" s="27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