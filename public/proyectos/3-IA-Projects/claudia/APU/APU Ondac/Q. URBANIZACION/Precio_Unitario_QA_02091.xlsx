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<sst xmlns="http://schemas.openxmlformats.org/spreadsheetml/2006/main" uniqueCount="40">
  <si>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</si>
  <si>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</si>
  <si>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</si>
  <si>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</si>
  <si>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</si>
  <si>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</si>
  <si>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</si>
  <si>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</si>
  <si>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</si>
  <si>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</si>
  <si>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</si>
  <si>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</si>
  <si>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</si>
  <si>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</si>
  <si>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</si>
  <si>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</si>
  <si>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</si>
  <si>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</si>
  <si>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</si>
  <si>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CARPETA PAVIMENTO ASFALTICO E=0,07 M. N Mayor 12000</t>
  </si>
  <si>
    <t>m2</t>
  </si>
  <si>
    <t xml:space="preserve">CARGADOR FRONTAL 1,5mt3          </t>
  </si>
  <si>
    <t>hor</t>
  </si>
  <si>
    <t>$</t>
  </si>
  <si>
    <t>CAMION TOLVA CAP. 15 M3</t>
  </si>
  <si>
    <t>FINISHER ASFALTICA 275 M3/HORA</t>
  </si>
  <si>
    <t>RODILLO COMPACTADOR 10 TON</t>
  </si>
  <si>
    <t>RODILLO NEUMATICO 2</t>
  </si>
  <si>
    <t>CAMION AGUA ALJIBE</t>
  </si>
  <si>
    <t>M.B.C. Tipo AC-16 SURF 50/70-n&gt;12.000</t>
  </si>
  <si>
    <t>m3</t>
  </si>
  <si>
    <t>BETÚN ASF. B 60/70-1</t>
  </si>
  <si>
    <t>lit</t>
  </si>
  <si>
    <t>Filler Calizo en MBC</t>
  </si>
  <si>
    <t>CAPATAZ OBRAS CIVILES</t>
  </si>
  <si>
    <t>dia</t>
  </si>
  <si>
    <t>JORNALERO</t>
  </si>
  <si>
    <t>LEYES SOCIALES (O.C.)</t>
  </si>
  <si>
    <t>10,11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</si>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</sst>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0.022</v>
      </c>
      <c r="S24" s="20" t="s">
        <v>22</v>
      </c>
      <c r="U24" s="20" t="s">
        <v>23</v>
      </c>
      <c r="W24" s="24" t="n">
        <v>13681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0.022</v>
      </c>
      <c r="S25" s="20" t="s">
        <v>22</v>
      </c>
      <c r="U25" s="20" t="s">
        <v>23</v>
      </c>
      <c r="W25" s="24" t="n">
        <v>32015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0.01</v>
      </c>
      <c r="S26" s="20" t="s">
        <v>22</v>
      </c>
      <c r="U26" s="20" t="s">
        <v>23</v>
      </c>
      <c r="W26" s="24" t="n">
        <v>64111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0.045</v>
      </c>
      <c r="S27" s="20" t="s">
        <v>22</v>
      </c>
      <c r="U27" s="20" t="s">
        <v>23</v>
      </c>
      <c r="W27" s="24" t="n">
        <v>25750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0.05</v>
      </c>
      <c r="S28" s="20" t="s">
        <v>22</v>
      </c>
      <c r="U28" s="20" t="s">
        <v>23</v>
      </c>
      <c r="W28" s="24" t="n">
        <v>19575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0.006</v>
      </c>
      <c r="S29" s="20" t="s">
        <v>22</v>
      </c>
      <c r="U29" s="20" t="s">
        <v>23</v>
      </c>
      <c r="W29" s="24" t="n">
        <v>25568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0.018</v>
      </c>
      <c r="S30" s="20" t="s">
        <v>30</v>
      </c>
      <c r="U30" s="20" t="s">
        <v>23</v>
      </c>
      <c r="W30" s="24" t="n">
        <v>36449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0.012</v>
      </c>
      <c r="S31" s="20" t="s">
        <v>32</v>
      </c>
      <c r="U31" s="20" t="s">
        <v>23</v>
      </c>
      <c r="W31" s="24" t="n">
        <v>773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/>
      <c r="P32" s="23" t="n">
        <v>0.01</v>
      </c>
      <c r="S32" s="20" t="s">
        <v>30</v>
      </c>
      <c r="U32" s="20" t="s">
        <v>23</v>
      </c>
      <c r="W32" s="24" t="n">
        <v>31303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34</v>
      </c>
      <c r="N33" s="19" t="s"/>
      <c r="P33" s="23" t="n">
        <v>0.011</v>
      </c>
      <c r="S33" s="20" t="s">
        <v>35</v>
      </c>
      <c r="U33" s="20" t="s">
        <v>23</v>
      </c>
      <c r="W33" s="24" t="n">
        <v>40375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/>
      <c r="P34" s="23" t="n">
        <v>0.021</v>
      </c>
      <c r="S34" s="20" t="s">
        <v>35</v>
      </c>
      <c r="U34" s="20" t="s">
        <v>23</v>
      </c>
      <c r="W34" s="24" t="n">
        <v>13775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37</v>
      </c>
      <c r="N35" s="19" t="s">
        <v>38</v>
      </c>
      <c r="P35" s="23" t="n">
        <v>30</v>
      </c>
      <c r="S35" s="20" t="s">
        <v>39</v>
      </c>
      <c r="U35" s="20" t="s">
        <v>23</v>
      </c>
      <c r="W35" s="24" t="s"/>
      <c r="AB35" s="24">
        <f>ROUND(P35*(AB33+AB34)/100,0)</f>
        <v/>
      </c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5" t="s">
        <v>23</v>
      </c>
      <c r="W36" s="20" t="n"/>
      <c r="AB36" s="26">
        <f>SUM(AB24:AB35)</f>
        <v/>
      </c>
      <c r="AC36" s="27" t="n"/>
      <c r="AD36" s="27" t="n"/>
      <c r="AE36" s="27" t="n"/>
      <c r="AF36" s="27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