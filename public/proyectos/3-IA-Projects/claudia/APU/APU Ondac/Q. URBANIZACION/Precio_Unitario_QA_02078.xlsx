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<sst xmlns="http://schemas.openxmlformats.org/spreadsheetml/2006/main" uniqueCount="40">
  <si>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</si>
  <si>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</si>
  <si>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</si>
  <si>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</si>
  <si>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</si>
  <si>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</si>
  <si>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</si>
  <si>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</si>
  <si>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</si>
  <si>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</si>
  <si>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</si>
  <si>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</si>
  <si>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</si>
  <si>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</si>
  <si>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</si>
  <si>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</si>
  <si>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</si>
  <si>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</si>
  <si>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</si>
  <si>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CALZADA H.C.V. 0.15</t>
  </si>
  <si>
    <t>m2</t>
  </si>
  <si>
    <t>RIPIO (flete 15km)</t>
  </si>
  <si>
    <t>m3</t>
  </si>
  <si>
    <t>$</t>
  </si>
  <si>
    <t>CEMENTO POLPAICO 25 KG</t>
  </si>
  <si>
    <t>c/u</t>
  </si>
  <si>
    <t>ARENA GRUESA (FLETE 15KM)</t>
  </si>
  <si>
    <t>BETONERA 11p 7,5hp MES=208h</t>
  </si>
  <si>
    <t>dia</t>
  </si>
  <si>
    <t>CERCHA VIBRADORA 3,5 mt MOTOR BENCINERO</t>
  </si>
  <si>
    <t>MOLDE PAVIMENTACION 15x18</t>
  </si>
  <si>
    <t>CORTADORA DE PAV. S/DISCO</t>
  </si>
  <si>
    <t>ELASTOSELLO 111 300ML GRIS SISTA</t>
  </si>
  <si>
    <t>uni</t>
  </si>
  <si>
    <t xml:space="preserve">TINETA 18 LITROS MEMBRANA DE CURADO ANTISOL </t>
  </si>
  <si>
    <t>MAESTRO DE PRIMERA</t>
  </si>
  <si>
    <t>CONCRETERO</t>
  </si>
  <si>
    <t>LEYES SOCIALES (O.C.)</t>
  </si>
  <si>
    <t>10,11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</si>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</sst>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0.113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2.04</v>
      </c>
      <c r="S25" s="20" t="s">
        <v>25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0.068</v>
      </c>
      <c r="S26" s="20" t="s">
        <v>22</v>
      </c>
      <c r="U26" s="20" t="s">
        <v>23</v>
      </c>
      <c r="W26" s="24" t="n">
        <v>16000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0.063</v>
      </c>
      <c r="S27" s="20" t="s">
        <v>28</v>
      </c>
      <c r="U27" s="20" t="s">
        <v>23</v>
      </c>
      <c r="W27" s="24" t="n">
        <v>12975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0.063</v>
      </c>
      <c r="S28" s="20" t="s">
        <v>28</v>
      </c>
      <c r="U28" s="20" t="s">
        <v>23</v>
      </c>
      <c r="W28" s="24" t="n">
        <v>9270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0.033</v>
      </c>
      <c r="S29" s="20" t="s">
        <v>28</v>
      </c>
      <c r="U29" s="20" t="s">
        <v>23</v>
      </c>
      <c r="W29" s="24" t="n">
        <v>4620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0.003</v>
      </c>
      <c r="S30" s="20" t="s">
        <v>28</v>
      </c>
      <c r="U30" s="20" t="s">
        <v>23</v>
      </c>
      <c r="W30" s="24" t="n">
        <v>16223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0.016</v>
      </c>
      <c r="S31" s="20" t="s">
        <v>33</v>
      </c>
      <c r="U31" s="20" t="s">
        <v>23</v>
      </c>
      <c r="W31" s="24" t="n">
        <v>5370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0.01</v>
      </c>
      <c r="S32" s="20" t="s">
        <v>25</v>
      </c>
      <c r="U32" s="20" t="s">
        <v>23</v>
      </c>
      <c r="W32" s="24" t="n">
        <v>22723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0.23</v>
      </c>
      <c r="S33" s="20" t="s">
        <v>28</v>
      </c>
      <c r="U33" s="20" t="s">
        <v>23</v>
      </c>
      <c r="W33" s="24" t="n">
        <v>27550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0.18</v>
      </c>
      <c r="S34" s="20" t="s">
        <v>28</v>
      </c>
      <c r="U34" s="20" t="s">
        <v>23</v>
      </c>
      <c r="W34" s="24" t="n">
        <v>24700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>
        <v>38</v>
      </c>
      <c r="P35" s="23" t="n">
        <v>30</v>
      </c>
      <c r="S35" s="20" t="s">
        <v>39</v>
      </c>
      <c r="U35" s="20" t="s">
        <v>23</v>
      </c>
      <c r="W35" s="24" t="s"/>
      <c r="AB35" s="24">
        <f>ROUND(P35*(AB33+AB34)/100,0)</f>
        <v/>
      </c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5" t="s">
        <v>23</v>
      </c>
      <c r="W36" s="20" t="n"/>
      <c r="AB36" s="26">
        <f>SUM(AB24:AB35)</f>
        <v/>
      </c>
      <c r="AC36" s="27" t="n"/>
      <c r="AD36" s="27" t="n"/>
      <c r="AE36" s="27" t="n"/>
      <c r="AF36" s="27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