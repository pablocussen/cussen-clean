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<sst xmlns="http://schemas.openxmlformats.org/spreadsheetml/2006/main" uniqueCount="41">
  <si>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</si>
  <si>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</si>
  <si>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</si>
  <si>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</si>
  <si>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</si>
  <si>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</si>
  <si>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</si>
  <si>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</si>
  <si>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</si>
  <si>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</si>
  <si>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</si>
  <si>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</si>
  <si>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</si>
  <si>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</si>
  <si>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</si>
  <si>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</si>
  <si>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</si>
  <si>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</si>
  <si>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</si>
  <si>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CONCRETO ASFALTICO CAPA INTERMEDIA</t>
  </si>
  <si>
    <t>m3</t>
  </si>
  <si>
    <t>ARIDOS PARA ASFALTO</t>
  </si>
  <si>
    <t>$</t>
  </si>
  <si>
    <t>ASFALTO CA-14</t>
  </si>
  <si>
    <t>VARIOS</t>
  </si>
  <si>
    <t>1,2</t>
  </si>
  <si>
    <t>%</t>
  </si>
  <si>
    <t>RODILLO NEUMATICO</t>
  </si>
  <si>
    <t>hor</t>
  </si>
  <si>
    <t>CORTADORA DE PAVIMENTO BENCINERA CON DISCO</t>
  </si>
  <si>
    <t>dia</t>
  </si>
  <si>
    <t>PLANTA ASFALTICA 60 TON/HORA</t>
  </si>
  <si>
    <t>FINISHER ASFALTICA 275 M3/HORA</t>
  </si>
  <si>
    <t>RODILLO LISO DOBLE TAMBOR</t>
  </si>
  <si>
    <t>RODILLO NEUMATICO 2</t>
  </si>
  <si>
    <t>CAMION TOLVA CAP. 15 M3</t>
  </si>
  <si>
    <t>CAMION AGUA ALJIBE</t>
  </si>
  <si>
    <t>CAPATAZ DE ASFALTO</t>
  </si>
  <si>
    <t>PERSONAL PAVIMENTACION (EQUIPO PRINCIPAL)</t>
  </si>
  <si>
    <t>LEYES SOCIALES (O.C.)</t>
  </si>
  <si>
    <t>12,13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</si>
</sst>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2.1</v>
      </c>
      <c r="S24" s="20" t="s">
        <v>20</v>
      </c>
      <c r="U24" s="20" t="s">
        <v>22</v>
      </c>
      <c r="W24" s="24" t="n">
        <v>9760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0.11</v>
      </c>
      <c r="S25" s="20" t="s">
        <v>20</v>
      </c>
      <c r="U25" s="20" t="s">
        <v>22</v>
      </c>
      <c r="W25" s="24" t="n">
        <v>511189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24</v>
      </c>
      <c r="N26" s="19" t="s">
        <v>25</v>
      </c>
      <c r="P26" s="23" t="n">
        <v>0.266</v>
      </c>
      <c r="S26" s="20" t="s">
        <v>26</v>
      </c>
      <c r="U26" s="20" t="s">
        <v>22</v>
      </c>
      <c r="W26" s="24" t="s"/>
      <c r="AB26" s="24">
        <f>ROUND(P26*(AB24+AB25)/100,0)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0.04</v>
      </c>
      <c r="S27" s="20" t="s">
        <v>28</v>
      </c>
      <c r="U27" s="20" t="s">
        <v>22</v>
      </c>
      <c r="W27" s="24" t="n">
        <v>19575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0.0023</v>
      </c>
      <c r="S28" s="20" t="s">
        <v>30</v>
      </c>
      <c r="U28" s="20" t="s">
        <v>22</v>
      </c>
      <c r="W28" s="24" t="n">
        <v>20000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31</v>
      </c>
      <c r="N29" s="19" t="s"/>
      <c r="P29" s="23" t="n">
        <v>0.1569</v>
      </c>
      <c r="S29" s="20" t="s">
        <v>28</v>
      </c>
      <c r="U29" s="20" t="s">
        <v>22</v>
      </c>
      <c r="W29" s="24" t="n">
        <v>329551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0.05</v>
      </c>
      <c r="S30" s="20" t="s">
        <v>28</v>
      </c>
      <c r="U30" s="20" t="s">
        <v>22</v>
      </c>
      <c r="W30" s="24" t="n">
        <v>64111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/>
      <c r="P31" s="23" t="n">
        <v>0.0333</v>
      </c>
      <c r="S31" s="20" t="s">
        <v>28</v>
      </c>
      <c r="U31" s="20" t="s">
        <v>22</v>
      </c>
      <c r="W31" s="24" t="n">
        <v>25750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34</v>
      </c>
      <c r="N32" s="19" t="s"/>
      <c r="P32" s="23" t="n">
        <v>0.0333</v>
      </c>
      <c r="S32" s="20" t="s">
        <v>28</v>
      </c>
      <c r="U32" s="20" t="s">
        <v>22</v>
      </c>
      <c r="W32" s="24" t="n">
        <v>19575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35</v>
      </c>
      <c r="N33" s="19" t="s"/>
      <c r="P33" s="23" t="n">
        <v>0.1239</v>
      </c>
      <c r="S33" s="20" t="s">
        <v>28</v>
      </c>
      <c r="U33" s="20" t="s">
        <v>22</v>
      </c>
      <c r="W33" s="24" t="n">
        <v>32015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/>
      <c r="P34" s="23" t="n">
        <v>0.0037</v>
      </c>
      <c r="S34" s="20" t="s">
        <v>28</v>
      </c>
      <c r="U34" s="20" t="s">
        <v>22</v>
      </c>
      <c r="W34" s="24" t="n">
        <v>25568</v>
      </c>
      <c r="AB34" s="24">
        <f>ROUND(P34*W34,0)</f>
        <v/>
      </c>
    </row>
    <row customHeight="1" ht="13.35" r="35" s="5" spans="1:35">
      <c r="C35" s="19" t="n"/>
      <c r="G35" s="20" t="n"/>
      <c r="H35" s="20" t="n">
        <v>12</v>
      </c>
      <c r="J35" s="21" t="s">
        <v>37</v>
      </c>
      <c r="N35" s="19" t="s"/>
      <c r="P35" s="23" t="n">
        <v>0.005</v>
      </c>
      <c r="S35" s="20" t="s">
        <v>30</v>
      </c>
      <c r="U35" s="20" t="s">
        <v>22</v>
      </c>
      <c r="W35" s="24" t="n">
        <v>47500</v>
      </c>
      <c r="AB35" s="24">
        <f>ROUND(P35*W35,0)</f>
        <v/>
      </c>
    </row>
    <row customHeight="1" ht="13.35" r="36" s="5" spans="1:35">
      <c r="C36" s="19" t="n"/>
      <c r="G36" s="20" t="n"/>
      <c r="H36" s="20" t="n">
        <v>13</v>
      </c>
      <c r="J36" s="21" t="s">
        <v>38</v>
      </c>
      <c r="N36" s="19" t="s"/>
      <c r="P36" s="23" t="n">
        <v>0.005</v>
      </c>
      <c r="S36" s="20" t="s">
        <v>30</v>
      </c>
      <c r="U36" s="20" t="s">
        <v>22</v>
      </c>
      <c r="W36" s="24" t="n">
        <v>185250</v>
      </c>
      <c r="AB36" s="24">
        <f>ROUND(P36*W36,0)</f>
        <v/>
      </c>
    </row>
    <row customHeight="1" ht="13.35" r="37" s="5" spans="1:35">
      <c r="C37" s="19" t="n"/>
      <c r="G37" s="20" t="n"/>
      <c r="H37" s="20" t="n">
        <v>14</v>
      </c>
      <c r="J37" s="21" t="s">
        <v>39</v>
      </c>
      <c r="N37" s="19" t="s">
        <v>40</v>
      </c>
      <c r="P37" s="23" t="n">
        <v>30</v>
      </c>
      <c r="S37" s="20" t="s">
        <v>26</v>
      </c>
      <c r="U37" s="20" t="s">
        <v>22</v>
      </c>
      <c r="W37" s="24" t="s"/>
      <c r="AB37" s="24">
        <f>ROUND(P37*(AB35+AB36)/100,0)</f>
        <v/>
      </c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5" t="s">
        <v>22</v>
      </c>
      <c r="W38" s="20" t="n"/>
      <c r="AB38" s="26">
        <f>SUM(AB24:AB37)</f>
        <v/>
      </c>
      <c r="AC38" s="27" t="n"/>
      <c r="AD38" s="27" t="n"/>
      <c r="AE38" s="27" t="n"/>
      <c r="AF38" s="27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