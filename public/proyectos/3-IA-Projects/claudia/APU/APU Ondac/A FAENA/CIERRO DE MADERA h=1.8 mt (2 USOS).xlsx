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<sst xmlns="http://schemas.openxmlformats.org/spreadsheetml/2006/main" uniqueCount="36">
  <si>
    <t>PÁGINA</t>
  </si>
  <si>
    <t>: 1</t>
  </si>
  <si>
    <t>FECHA PPTO</t>
  </si>
  <si>
    <t>: 24/04/2019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</si>
  <si>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</si>
  <si>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</si>
  <si>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</si>
  <si>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</si>
  <si>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</si>
  <si>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</si>
  <si>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</si>
  <si>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</si>
  <si>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</si>
  <si>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</si>
  <si>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</si>
  <si>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</si>
  <si>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</si>
  <si>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</si>
  <si>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</si>
  <si>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CIERRO DE MADERA h=1.8 mt  (2 USOS)</t>
  </si>
  <si>
    <t>mt</t>
  </si>
  <si>
    <t>1X8" X 3.2M PINO DIMENSIONADO SECO</t>
  </si>
  <si>
    <t>c/u</t>
  </si>
  <si>
    <t>$</t>
  </si>
  <si>
    <t>PINO CUARTON 4X4 3.2MT</t>
  </si>
  <si>
    <t>uni</t>
  </si>
  <si>
    <t>PINO CUARTON 3X3 3.2MT</t>
  </si>
  <si>
    <t xml:space="preserve">CLAVO CORRIENTE 2 1/2" </t>
  </si>
  <si>
    <t>LP OSB ST APA 11.1X1220X2440MM</t>
  </si>
  <si>
    <t>pla</t>
  </si>
  <si>
    <t>JORNALERO</t>
  </si>
  <si>
    <t>dia</t>
  </si>
  <si>
    <t>CARPINTERO</t>
  </si>
  <si>
    <t>LEYES SOCIALES (O.E.)</t>
  </si>
  <si>
    <t>6,7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</si>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</sst>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ROUND(P23*AB32,0)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2.8</v>
      </c>
      <c r="S24" s="20" t="s">
        <v>22</v>
      </c>
      <c r="U24" s="20" t="s">
        <v>23</v>
      </c>
      <c r="W24" s="24" t="n">
        <v>2513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0.6</v>
      </c>
      <c r="S25" s="20" t="s">
        <v>25</v>
      </c>
      <c r="U25" s="20" t="s">
        <v>23</v>
      </c>
      <c r="W25" s="24" t="n">
        <v>2622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0.25</v>
      </c>
      <c r="S26" s="20" t="s">
        <v>25</v>
      </c>
      <c r="U26" s="20" t="s">
        <v>23</v>
      </c>
      <c r="W26" s="24" t="n">
        <v>1840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0.05</v>
      </c>
      <c r="S27" s="20" t="s">
        <v>22</v>
      </c>
      <c r="U27" s="20" t="s">
        <v>23</v>
      </c>
      <c r="W27" s="24" t="n">
        <v>2168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0.34</v>
      </c>
      <c r="S28" s="20" t="s">
        <v>29</v>
      </c>
      <c r="U28" s="20" t="s">
        <v>23</v>
      </c>
      <c r="W28" s="24" t="n">
        <v>7218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/>
      <c r="P29" s="23" t="n">
        <v>0.136</v>
      </c>
      <c r="S29" s="20" t="s">
        <v>31</v>
      </c>
      <c r="U29" s="20" t="s">
        <v>23</v>
      </c>
      <c r="W29" s="24" t="n">
        <v>13775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32</v>
      </c>
      <c r="N30" s="19" t="s"/>
      <c r="P30" s="23" t="n">
        <v>0.1</v>
      </c>
      <c r="S30" s="20" t="s">
        <v>31</v>
      </c>
      <c r="U30" s="20" t="s">
        <v>23</v>
      </c>
      <c r="W30" s="24" t="n">
        <v>27550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33</v>
      </c>
      <c r="N31" s="19" t="s">
        <v>34</v>
      </c>
      <c r="P31" s="23" t="n">
        <v>29</v>
      </c>
      <c r="S31" s="20" t="s">
        <v>35</v>
      </c>
      <c r="U31" s="20" t="s">
        <v>23</v>
      </c>
      <c r="W31" s="24" t="s"/>
      <c r="AB31" s="24">
        <f>ROUND(P31*(AB29+AB30)/100,0)</f>
        <v/>
      </c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5" t="s">
        <v>23</v>
      </c>
      <c r="W32" s="20" t="n"/>
      <c r="AB32" s="26">
        <f>SUM(AB24:AB31)</f>
        <v/>
      </c>
      <c r="AC32" s="27" t="n"/>
      <c r="AD32" s="27" t="n"/>
      <c r="AE32" s="27" t="n"/>
      <c r="AF32" s="27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