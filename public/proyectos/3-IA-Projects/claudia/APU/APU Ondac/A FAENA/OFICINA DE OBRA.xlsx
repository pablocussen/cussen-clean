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<sst xmlns="http://schemas.openxmlformats.org/spreadsheetml/2006/main" uniqueCount="47">
  <si>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</si>
  <si>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</si>
  <si>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</si>
  <si>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</si>
  <si>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</si>
  <si>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</si>
  <si>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</si>
  <si>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</si>
  <si>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</si>
  <si>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</si>
  <si>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</si>
  <si>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</si>
  <si>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</si>
  <si>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</si>
  <si>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</si>
  <si>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</si>
  <si>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</si>
  <si>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</si>
  <si>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</si>
  <si>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OFICINA DE OBRA</t>
  </si>
  <si>
    <t>m2</t>
  </si>
  <si>
    <t>1X8" X 3.2M PINO DIMENSIONADO SECO</t>
  </si>
  <si>
    <t>c/u</t>
  </si>
  <si>
    <t>$</t>
  </si>
  <si>
    <t xml:space="preserve">2X10" X 3.2M PINO DIMENSIONADO SECO </t>
  </si>
  <si>
    <t>POLIESTIRENO EXPANDIDO 50X1000X2000 MM AISLAPOL</t>
  </si>
  <si>
    <t>uni</t>
  </si>
  <si>
    <t>CLAVO CORRIENTE 2X12 25KG</t>
  </si>
  <si>
    <t xml:space="preserve">CLAVO CORRIENTE 4", CAJA 25KGS. </t>
  </si>
  <si>
    <t>CLAVO CORRIENTE 3", BOLSA 2,5KGS</t>
  </si>
  <si>
    <t>TORNILLO TECHO 12X21/2 144UNI</t>
  </si>
  <si>
    <t>CEMENTO POLPAICO 25 KG</t>
  </si>
  <si>
    <t xml:space="preserve">1220X910 MM PLANCHA FIBROCEMENTO ONDA ESTÁNDAR 9 NORMAL GRIS </t>
  </si>
  <si>
    <t>VARIOS</t>
  </si>
  <si>
    <t>8</t>
  </si>
  <si>
    <t>%</t>
  </si>
  <si>
    <t>RIPIO (flete 15km)</t>
  </si>
  <si>
    <t>m3</t>
  </si>
  <si>
    <t>ARENA GRUESA (FLETE 15KM)</t>
  </si>
  <si>
    <t>PERDIDAS</t>
  </si>
  <si>
    <t>12</t>
  </si>
  <si>
    <t>CARPINTERO + 1 AYUD</t>
  </si>
  <si>
    <t>dia</t>
  </si>
  <si>
    <t>ALBAÑIL + 1 AYUD</t>
  </si>
  <si>
    <t>JORNALERO</t>
  </si>
  <si>
    <t>LEYES SOCIALES (O.E.)</t>
  </si>
  <si>
    <t>14,15,16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</si>
</sst>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ROUND(P23*AB41,0)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6.6</v>
      </c>
      <c r="S24" s="20" t="s">
        <v>22</v>
      </c>
      <c r="U24" s="20" t="s">
        <v>23</v>
      </c>
      <c r="W24" s="24" t="n">
        <v>2697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6.6</v>
      </c>
      <c r="S25" s="20" t="s">
        <v>22</v>
      </c>
      <c r="U25" s="20" t="s">
        <v>23</v>
      </c>
      <c r="W25" s="24" t="n">
        <v>6639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0.55</v>
      </c>
      <c r="S26" s="20" t="s">
        <v>26</v>
      </c>
      <c r="U26" s="20" t="s">
        <v>23</v>
      </c>
      <c r="W26" s="24" t="n">
        <v>2462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0.001</v>
      </c>
      <c r="S27" s="20" t="s">
        <v>26</v>
      </c>
      <c r="U27" s="20" t="s">
        <v>23</v>
      </c>
      <c r="W27" s="24" t="n">
        <v>19395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0.003</v>
      </c>
      <c r="S28" s="20" t="s">
        <v>22</v>
      </c>
      <c r="U28" s="20" t="s">
        <v>23</v>
      </c>
      <c r="W28" s="24" t="n">
        <v>19395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0.008999999999999999</v>
      </c>
      <c r="S29" s="20" t="s">
        <v>22</v>
      </c>
      <c r="U29" s="20" t="s">
        <v>23</v>
      </c>
      <c r="W29" s="24" t="n">
        <v>1676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0.011111</v>
      </c>
      <c r="S30" s="20" t="s">
        <v>26</v>
      </c>
      <c r="U30" s="20" t="s">
        <v>23</v>
      </c>
      <c r="W30" s="24" t="n">
        <v>8571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0.68</v>
      </c>
      <c r="S31" s="20" t="s">
        <v>22</v>
      </c>
      <c r="U31" s="20" t="s">
        <v>23</v>
      </c>
      <c r="W31" s="24" t="n">
        <v>2933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32</v>
      </c>
      <c r="N32" s="19" t="s"/>
      <c r="P32" s="23" t="n">
        <v>1.08</v>
      </c>
      <c r="S32" s="20" t="s">
        <v>22</v>
      </c>
      <c r="U32" s="20" t="s">
        <v>23</v>
      </c>
      <c r="W32" s="24" t="n">
        <v>2990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33</v>
      </c>
      <c r="N33" s="19" t="s">
        <v>34</v>
      </c>
      <c r="P33" s="23" t="n">
        <v>45</v>
      </c>
      <c r="S33" s="20" t="s">
        <v>35</v>
      </c>
      <c r="U33" s="20" t="s">
        <v>23</v>
      </c>
      <c r="W33" s="24" t="s"/>
      <c r="AB33" s="24">
        <f>ROUND(P33*(AB31)/100,0)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0.07000000000000001</v>
      </c>
      <c r="S34" s="20" t="s">
        <v>37</v>
      </c>
      <c r="U34" s="20" t="s">
        <v>23</v>
      </c>
      <c r="W34" s="24" t="n">
        <v>15000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38</v>
      </c>
      <c r="N35" s="19" t="s"/>
      <c r="P35" s="23" t="n">
        <v>0.04</v>
      </c>
      <c r="S35" s="20" t="s">
        <v>37</v>
      </c>
      <c r="U35" s="20" t="s">
        <v>23</v>
      </c>
      <c r="W35" s="24" t="n">
        <v>16000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39</v>
      </c>
      <c r="N36" s="19" t="s">
        <v>40</v>
      </c>
      <c r="P36" s="23" t="n">
        <v>5</v>
      </c>
      <c r="S36" s="20" t="s">
        <v>35</v>
      </c>
      <c r="U36" s="20" t="s">
        <v>23</v>
      </c>
      <c r="W36" s="24" t="s"/>
      <c r="AB36" s="24">
        <f>ROUND(P36*(AB35)/100,0)</f>
        <v/>
      </c>
    </row>
    <row customHeight="1" ht="13.35" r="37" s="5" spans="1:35">
      <c r="C37" s="19" t="n"/>
      <c r="G37" s="20" t="n"/>
      <c r="H37" s="20" t="n">
        <v>14</v>
      </c>
      <c r="J37" s="21" t="s">
        <v>41</v>
      </c>
      <c r="N37" s="19" t="s"/>
      <c r="P37" s="23" t="n">
        <v>0.31</v>
      </c>
      <c r="S37" s="20" t="s">
        <v>42</v>
      </c>
      <c r="U37" s="20" t="s">
        <v>23</v>
      </c>
      <c r="W37" s="24" t="n">
        <v>45600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43</v>
      </c>
      <c r="N38" s="19" t="s"/>
      <c r="P38" s="23" t="n">
        <v>0.05</v>
      </c>
      <c r="S38" s="20" t="s">
        <v>42</v>
      </c>
      <c r="U38" s="20" t="s">
        <v>23</v>
      </c>
      <c r="W38" s="24" t="n">
        <v>46550</v>
      </c>
      <c r="AB38" s="24">
        <f>ROUND(P38*W38,0)</f>
        <v/>
      </c>
    </row>
    <row customHeight="1" ht="13.35" r="39" s="5" spans="1:35">
      <c r="C39" s="19" t="n"/>
      <c r="G39" s="20" t="n"/>
      <c r="H39" s="20" t="n">
        <v>16</v>
      </c>
      <c r="J39" s="21" t="s">
        <v>44</v>
      </c>
      <c r="N39" s="19" t="s"/>
      <c r="P39" s="23" t="n">
        <v>0.022</v>
      </c>
      <c r="S39" s="20" t="s">
        <v>42</v>
      </c>
      <c r="U39" s="20" t="s">
        <v>23</v>
      </c>
      <c r="W39" s="24" t="n">
        <v>13775</v>
      </c>
      <c r="AB39" s="24">
        <f>ROUND(P39*W39,0)</f>
        <v/>
      </c>
    </row>
    <row customHeight="1" ht="13.35" r="40" s="5" spans="1:35">
      <c r="C40" s="19" t="n"/>
      <c r="G40" s="20" t="n"/>
      <c r="H40" s="20" t="n">
        <v>17</v>
      </c>
      <c r="J40" s="21" t="s">
        <v>45</v>
      </c>
      <c r="N40" s="19" t="s">
        <v>46</v>
      </c>
      <c r="P40" s="23" t="n">
        <v>29</v>
      </c>
      <c r="S40" s="20" t="s">
        <v>35</v>
      </c>
      <c r="U40" s="20" t="s">
        <v>23</v>
      </c>
      <c r="W40" s="24" t="s"/>
      <c r="AB40" s="24">
        <f>ROUND(P40*(AB37+AB38+AB39)/100,0)</f>
        <v/>
      </c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5" t="s">
        <v>23</v>
      </c>
      <c r="W41" s="20" t="n"/>
      <c r="AB41" s="26">
        <f>SUM(AB24:AB40)</f>
        <v/>
      </c>
      <c r="AC41" s="27" t="n"/>
      <c r="AD41" s="27" t="n"/>
      <c r="AE41" s="27" t="n"/>
      <c r="AF41" s="27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