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<sst xmlns="http://schemas.openxmlformats.org/spreadsheetml/2006/main" uniqueCount="40">
  <si>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</si>
  <si>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</si>
  <si>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</si>
  <si>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</si>
  <si>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</si>
  <si>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</si>
  <si>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</si>
  <si>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</si>
  <si>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</si>
  <si>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</si>
  <si>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</si>
  <si>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</si>
  <si>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</si>
  <si>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</si>
  <si>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</si>
  <si>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</si>
  <si>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</si>
  <si>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</si>
  <si>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</si>
  <si>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CASETA PRE-FAB. CUIDADOR 2 m2</t>
  </si>
  <si>
    <t>uni</t>
  </si>
  <si>
    <t>PINO CUARTON 3X3 3.2MT</t>
  </si>
  <si>
    <t>$</t>
  </si>
  <si>
    <t xml:space="preserve">2X10" X 3.2M PINO DIMENSIONADO SECO </t>
  </si>
  <si>
    <t>c/u</t>
  </si>
  <si>
    <t>CLAVO CORRIENTE 2X12 25KG</t>
  </si>
  <si>
    <t xml:space="preserve">CLAVO CORRIENTE 4", BALDE 15KGS. </t>
  </si>
  <si>
    <t>LP OSB ST APA 11.1X1220X2440MM</t>
  </si>
  <si>
    <t>pla</t>
  </si>
  <si>
    <t>TORNILLO TECHO 12X21/2 144UNI</t>
  </si>
  <si>
    <t xml:space="preserve">1220X910 MM PLANCHA FIBROCEMENTO ONDA ESTÁNDAR 9 NORMAL GRIS </t>
  </si>
  <si>
    <t>BISAGRA 84 3X3" P/S ZN 1UNI</t>
  </si>
  <si>
    <t>CANDADO FORJADO DE 40MM L340</t>
  </si>
  <si>
    <t>dsp</t>
  </si>
  <si>
    <t>MAESTRO DE PRIMERA</t>
  </si>
  <si>
    <t>dia</t>
  </si>
  <si>
    <t>CADENA ACERO GALV. ESL.LARGO 6MM</t>
  </si>
  <si>
    <t>LEYES SOCIALES (O.E.)</t>
  </si>
  <si>
    <t>11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</si>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</sst>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8</v>
      </c>
      <c r="S24" s="20" t="s">
        <v>20</v>
      </c>
      <c r="U24" s="20" t="s">
        <v>22</v>
      </c>
      <c r="W24" s="24" t="n">
        <v>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6</v>
      </c>
      <c r="S25" s="20" t="s">
        <v>24</v>
      </c>
      <c r="U25" s="20" t="s">
        <v>22</v>
      </c>
      <c r="W25" s="24" t="n">
        <v>6639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0.008</v>
      </c>
      <c r="S26" s="20" t="s">
        <v>20</v>
      </c>
      <c r="U26" s="20" t="s">
        <v>22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0.008</v>
      </c>
      <c r="S27" s="20" t="s">
        <v>24</v>
      </c>
      <c r="U27" s="20" t="s">
        <v>22</v>
      </c>
      <c r="W27" s="24" t="n">
        <v>12723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4</v>
      </c>
      <c r="S28" s="20" t="s">
        <v>28</v>
      </c>
      <c r="U28" s="20" t="s">
        <v>22</v>
      </c>
      <c r="W28" s="24" t="n">
        <v>7210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0.011111</v>
      </c>
      <c r="S29" s="20" t="s">
        <v>20</v>
      </c>
      <c r="U29" s="20" t="s">
        <v>22</v>
      </c>
      <c r="W29" s="24" t="n">
        <v>5588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2.2</v>
      </c>
      <c r="S30" s="20" t="s">
        <v>24</v>
      </c>
      <c r="U30" s="20" t="s">
        <v>22</v>
      </c>
      <c r="W30" s="24" t="n">
        <v>2990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1</v>
      </c>
      <c r="S31" s="20" t="s">
        <v>20</v>
      </c>
      <c r="U31" s="20" t="s">
        <v>22</v>
      </c>
      <c r="W31" s="24" t="n">
        <v>1588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32</v>
      </c>
      <c r="N32" s="19" t="s"/>
      <c r="P32" s="23" t="n">
        <v>1</v>
      </c>
      <c r="S32" s="20" t="s">
        <v>33</v>
      </c>
      <c r="U32" s="20" t="s">
        <v>22</v>
      </c>
      <c r="W32" s="24" t="n">
        <v>12227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34</v>
      </c>
      <c r="N33" s="19" t="s"/>
      <c r="P33" s="23" t="n">
        <v>2</v>
      </c>
      <c r="S33" s="20" t="s">
        <v>35</v>
      </c>
      <c r="U33" s="20" t="s">
        <v>22</v>
      </c>
      <c r="W33" s="24" t="n">
        <v>27550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1</v>
      </c>
      <c r="S34" s="20" t="s">
        <v>20</v>
      </c>
      <c r="U34" s="20" t="s">
        <v>22</v>
      </c>
      <c r="W34" s="24" t="n">
        <v>1243.35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>
        <v>38</v>
      </c>
      <c r="P35" s="23" t="n">
        <v>29</v>
      </c>
      <c r="S35" s="20" t="s">
        <v>39</v>
      </c>
      <c r="U35" s="20" t="s">
        <v>22</v>
      </c>
      <c r="W35" s="24" t="s"/>
      <c r="AB35" s="24">
        <f>ROUND(P35*(AB34)/100,0)</f>
        <v/>
      </c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5" t="s">
        <v>22</v>
      </c>
      <c r="W36" s="20" t="n"/>
      <c r="AB36" s="26">
        <f>SUM(AB24:AB35)</f>
        <v/>
      </c>
      <c r="AC36" s="27" t="n"/>
      <c r="AD36" s="27" t="n"/>
      <c r="AE36" s="27" t="n"/>
      <c r="AF36" s="27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