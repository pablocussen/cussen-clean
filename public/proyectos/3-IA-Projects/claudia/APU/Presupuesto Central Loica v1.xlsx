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torres/Desktop/GECOT/05 Operaciones/208 Pablo Cussen/01 Antecedentes/04 Presupuesto Detallado/"/>
    </mc:Choice>
  </mc:AlternateContent>
  <xr:revisionPtr revIDLastSave="0" documentId="13_ncr:1_{FFB6FCAA-9B8E-0A47-A278-4952FF54E267}" xr6:coauthVersionLast="47" xr6:coauthVersionMax="47" xr10:uidLastSave="{00000000-0000-0000-0000-000000000000}"/>
  <bookViews>
    <workbookView xWindow="30380" yWindow="-360" windowWidth="34660" windowHeight="19420" tabRatio="896" xr2:uid="{00000000-000D-0000-FFFF-FFFF00000000}"/>
  </bookViews>
  <sheets>
    <sheet name="01.- Presupuesto" sheetId="14" r:id="rId1"/>
    <sheet name="02.- Gastos Generales" sheetId="313" r:id="rId2"/>
    <sheet name="03.- Cubicaciones" sheetId="135" r:id="rId3"/>
    <sheet name="04.- CC Cubicaciones" sheetId="312" r:id="rId4"/>
    <sheet name="05.- PU Clave" sheetId="145" r:id="rId5"/>
    <sheet name="1.1" sheetId="22" r:id="rId6"/>
    <sheet name="2.1" sheetId="146" r:id="rId7"/>
    <sheet name="2.2" sheetId="147" r:id="rId8"/>
    <sheet name="2.3" sheetId="148" r:id="rId9"/>
    <sheet name="2.4" sheetId="149" r:id="rId10"/>
    <sheet name="3.1" sheetId="150" r:id="rId11"/>
    <sheet name="3.2" sheetId="151" r:id="rId12"/>
    <sheet name="3.3" sheetId="152" r:id="rId13"/>
    <sheet name="3.4" sheetId="153" r:id="rId14"/>
    <sheet name="3.5" sheetId="154" r:id="rId15"/>
    <sheet name="4.1" sheetId="155" r:id="rId16"/>
    <sheet name="4.2" sheetId="156" r:id="rId17"/>
    <sheet name="5.1" sheetId="225" r:id="rId18"/>
    <sheet name="5.2" sheetId="158" r:id="rId19"/>
    <sheet name="5.3" sheetId="159" r:id="rId20"/>
    <sheet name="5.4" sheetId="160" r:id="rId21"/>
    <sheet name="6.1" sheetId="161" r:id="rId22"/>
    <sheet name="6.2" sheetId="162" r:id="rId23"/>
    <sheet name="6.3" sheetId="163" r:id="rId24"/>
    <sheet name="6.4" sheetId="164" r:id="rId25"/>
    <sheet name="6.5" sheetId="165" r:id="rId26"/>
    <sheet name="6.6" sheetId="166" r:id="rId27"/>
    <sheet name="6.7" sheetId="167" r:id="rId28"/>
    <sheet name="7.1" sheetId="168" r:id="rId29"/>
    <sheet name="7.2" sheetId="169" r:id="rId30"/>
    <sheet name="7.8" sheetId="175" r:id="rId31"/>
    <sheet name="7.3" sheetId="170" r:id="rId32"/>
    <sheet name="7.4" sheetId="171" r:id="rId33"/>
    <sheet name="7.5" sheetId="172" r:id="rId34"/>
    <sheet name="7.6" sheetId="173" r:id="rId35"/>
    <sheet name="7.7" sheetId="174" r:id="rId36"/>
    <sheet name="7.9" sheetId="176" r:id="rId37"/>
    <sheet name="7.10" sheetId="185" r:id="rId38"/>
    <sheet name="7.11" sheetId="178" r:id="rId39"/>
    <sheet name="8.1" sheetId="179" r:id="rId40"/>
    <sheet name="8.2" sheetId="180" r:id="rId41"/>
    <sheet name="8.3" sheetId="181" r:id="rId42"/>
    <sheet name="8.4" sheetId="182" r:id="rId43"/>
    <sheet name="8.5" sheetId="183" r:id="rId44"/>
    <sheet name="8.6" sheetId="184" r:id="rId45"/>
    <sheet name="8.7" sheetId="186" r:id="rId46"/>
    <sheet name="9.1" sheetId="187" r:id="rId47"/>
    <sheet name="9.2" sheetId="188" r:id="rId48"/>
    <sheet name="9.3" sheetId="189" r:id="rId49"/>
    <sheet name="9.4" sheetId="190" r:id="rId50"/>
    <sheet name="9.5" sheetId="191" r:id="rId51"/>
    <sheet name="9.6" sheetId="192" r:id="rId52"/>
    <sheet name="10.1" sheetId="193" r:id="rId53"/>
    <sheet name="10.2" sheetId="194" r:id="rId54"/>
    <sheet name="10.3" sheetId="195" r:id="rId55"/>
    <sheet name="10.4" sheetId="196" r:id="rId56"/>
    <sheet name="10.5" sheetId="197" r:id="rId57"/>
    <sheet name="10.6" sheetId="199" r:id="rId58"/>
    <sheet name="10.7" sheetId="226" r:id="rId59"/>
    <sheet name="10.8" sheetId="227" r:id="rId60"/>
    <sheet name="11.1" sheetId="228" r:id="rId61"/>
    <sheet name="11.2" sheetId="229" r:id="rId62"/>
    <sheet name="11.3" sheetId="230" r:id="rId63"/>
    <sheet name="11.4" sheetId="231" r:id="rId64"/>
    <sheet name="12.1" sheetId="232" r:id="rId65"/>
    <sheet name="12.2" sheetId="233" r:id="rId66"/>
    <sheet name="12.3" sheetId="234" r:id="rId67"/>
    <sheet name="12.4" sheetId="235" r:id="rId68"/>
    <sheet name="12.5" sheetId="236" r:id="rId69"/>
    <sheet name="12.6" sheetId="237" r:id="rId70"/>
    <sheet name="13.1" sheetId="238" r:id="rId71"/>
    <sheet name="13.2" sheetId="239" r:id="rId72"/>
    <sheet name="13.3" sheetId="240" r:id="rId73"/>
    <sheet name="13.4" sheetId="241" r:id="rId74"/>
    <sheet name="13.5" sheetId="242" r:id="rId75"/>
    <sheet name="13.6" sheetId="243" r:id="rId76"/>
    <sheet name="13.7" sheetId="244" r:id="rId77"/>
    <sheet name="13.8" sheetId="245" r:id="rId78"/>
    <sheet name="14.1" sheetId="246" r:id="rId79"/>
    <sheet name="14.2" sheetId="247" r:id="rId80"/>
    <sheet name="14.3" sheetId="248" r:id="rId81"/>
    <sheet name="14.4" sheetId="249" r:id="rId82"/>
    <sheet name="14.5" sheetId="250" r:id="rId83"/>
    <sheet name="14.6" sheetId="251" r:id="rId84"/>
    <sheet name="14.7" sheetId="252" r:id="rId85"/>
    <sheet name="14.8" sheetId="253" r:id="rId86"/>
    <sheet name="15.1" sheetId="254" r:id="rId87"/>
    <sheet name="16.1" sheetId="255" r:id="rId88"/>
    <sheet name="17.1" sheetId="256" r:id="rId89"/>
    <sheet name="17.2" sheetId="257" r:id="rId90"/>
    <sheet name="17.3" sheetId="258" r:id="rId91"/>
    <sheet name="17.4" sheetId="259" r:id="rId92"/>
    <sheet name="18.1" sheetId="260" r:id="rId93"/>
    <sheet name="18.2" sheetId="261" r:id="rId94"/>
    <sheet name="19.1" sheetId="262" r:id="rId95"/>
    <sheet name="19.2" sheetId="263" r:id="rId96"/>
    <sheet name="19.3" sheetId="264" r:id="rId97"/>
    <sheet name="19.4" sheetId="265" r:id="rId98"/>
    <sheet name="19.5" sheetId="266" r:id="rId99"/>
    <sheet name="19.6" sheetId="267" r:id="rId100"/>
    <sheet name="19.7" sheetId="268" r:id="rId101"/>
    <sheet name="19.8" sheetId="269" r:id="rId102"/>
    <sheet name="20.1" sheetId="270" r:id="rId103"/>
    <sheet name="20.2" sheetId="271" r:id="rId104"/>
    <sheet name="20.3" sheetId="272" r:id="rId105"/>
    <sheet name="20.4" sheetId="273" r:id="rId106"/>
    <sheet name="21.1" sheetId="274" r:id="rId107"/>
    <sheet name="21.2" sheetId="275" r:id="rId108"/>
    <sheet name="21.3" sheetId="276" r:id="rId109"/>
    <sheet name="21.4" sheetId="277" r:id="rId110"/>
    <sheet name="21.5" sheetId="278" r:id="rId111"/>
    <sheet name="21.6" sheetId="279" r:id="rId112"/>
    <sheet name="21.7" sheetId="280" r:id="rId113"/>
    <sheet name="21.8" sheetId="281" r:id="rId114"/>
    <sheet name="21.9" sheetId="282" r:id="rId115"/>
    <sheet name="21.10" sheetId="283" r:id="rId116"/>
    <sheet name="21.11" sheetId="284" r:id="rId117"/>
    <sheet name="22.1" sheetId="285" r:id="rId118"/>
    <sheet name="22.2" sheetId="286" r:id="rId119"/>
    <sheet name="22.3" sheetId="287" r:id="rId120"/>
    <sheet name="22.4" sheetId="288" r:id="rId121"/>
    <sheet name="22.5" sheetId="289" r:id="rId122"/>
    <sheet name="22.6" sheetId="290" r:id="rId123"/>
    <sheet name="23.1" sheetId="291" r:id="rId124"/>
    <sheet name="23.2" sheetId="292" r:id="rId125"/>
    <sheet name="23.3" sheetId="293" r:id="rId126"/>
    <sheet name="23.4" sheetId="294" r:id="rId127"/>
    <sheet name="23.5" sheetId="295" r:id="rId128"/>
    <sheet name="23.6" sheetId="296" r:id="rId129"/>
    <sheet name="24.1" sheetId="297" r:id="rId130"/>
    <sheet name="24.2" sheetId="298" r:id="rId131"/>
    <sheet name="24.3" sheetId="299" r:id="rId132"/>
    <sheet name="25.1" sheetId="300" r:id="rId133"/>
    <sheet name="25.2" sheetId="301" r:id="rId134"/>
    <sheet name="26.1" sheetId="302" r:id="rId135"/>
    <sheet name="26.2" sheetId="303" r:id="rId136"/>
    <sheet name="26.3" sheetId="304" r:id="rId137"/>
    <sheet name="26.4" sheetId="305" r:id="rId138"/>
    <sheet name="26.5" sheetId="306" r:id="rId139"/>
    <sheet name="26.6" sheetId="307" r:id="rId140"/>
    <sheet name="27.1" sheetId="308" r:id="rId141"/>
    <sheet name="27.2" sheetId="309" r:id="rId142"/>
    <sheet name="27.3" sheetId="310" r:id="rId143"/>
    <sheet name="27.4" sheetId="311" r:id="rId144"/>
  </sheets>
  <externalReferences>
    <externalReference r:id="rId145"/>
  </externalReferences>
  <definedNames>
    <definedName name="_Fill" hidden="1">'[1]Tiraje Mix'!#REF!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ljibe">'05.- PU Clave'!$D$21</definedName>
    <definedName name="_xlnm.Print_Area" localSheetId="0">'01.- Presupuesto'!$A$1:$J$217</definedName>
    <definedName name="_xlnm.Print_Area" localSheetId="1">'02.- Gastos Generales'!$A$1:$J$61</definedName>
    <definedName name="Arena">'05.- PU Clave'!$D$26</definedName>
    <definedName name="ASCENSOR" hidden="1">{"'resumen'!$A$1:$D$42"}</definedName>
    <definedName name="Ayudante">'05.- PU Clave'!$D$6</definedName>
    <definedName name="Base100">'05.- PU Clave'!$D$24</definedName>
    <definedName name="Base50">'05.- PU Clave'!$D$25</definedName>
    <definedName name="Bolones">'05.- PU Clave'!$D$29</definedName>
    <definedName name="Cerámista">'05.- PU Clave'!$D$8</definedName>
    <definedName name="CuboDren">'05.- PU Clave'!$D$44</definedName>
    <definedName name="cv" hidden="1">{#N/A,#N/A,TRUE,"LP-CO2X"}</definedName>
    <definedName name="e" hidden="1">{"'resumen'!$A$1:$D$42"}</definedName>
    <definedName name="Enf">'05.- PU Clave'!$D$10</definedName>
    <definedName name="equi" hidden="1">{"'resumen'!$A$1:$D$42"}</definedName>
    <definedName name="Excavadora">'05.- PU Clave'!$D$16</definedName>
    <definedName name="GasfArtef">'05.- PU Clave'!#REF!</definedName>
    <definedName name="GasfGrif">'05.- PU Clave'!#REF!</definedName>
    <definedName name="Grava">'05.- PU Clave'!$D$28</definedName>
    <definedName name="Gravilla">'05.- PU Clave'!$D$27</definedName>
    <definedName name="H" localSheetId="2">'03.- Cubicaciones'!#REF!</definedName>
    <definedName name="H">'03.- Cubicaciones'!#REF!</definedName>
    <definedName name="HormG15">'05.- PU Clave'!$D$34</definedName>
    <definedName name="HormG20">'05.- PU Clave'!$D$33</definedName>
    <definedName name="HormG25">'05.- PU Clave'!$D$32</definedName>
    <definedName name="HormG5">'05.- PU Clave'!$D$35</definedName>
    <definedName name="HTML_CodePage" hidden="1">1252</definedName>
    <definedName name="HTML_Control" hidden="1">{"'resumen'!$A$1:$D$42"}</definedName>
    <definedName name="HTML_Description" hidden="1">""</definedName>
    <definedName name="HTML_Email" hidden="1">""</definedName>
    <definedName name="HTML_Header" hidden="1">"Fundacion Duoc"</definedName>
    <definedName name="HTML_LastUpdate" hidden="1">""</definedName>
    <definedName name="HTML_LineAfter" hidden="1">TRUE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"D:\CONTABILIDAD\ACTIVO FIJO\INFORMES A. FIJO\año 2001\Obras\Activacion Obras Sede 10.htm"</definedName>
    <definedName name="HTML_Title" hidden="1">"Activacion Obras Ctro Tecnologico"</definedName>
    <definedName name="jk" hidden="1">{#N/A,#N/A,TRUE,"LP-CO2X"}</definedName>
    <definedName name="jl" hidden="1">{"'resumen'!$A$1:$D$42"}</definedName>
    <definedName name="Jornal">'05.- PU Clave'!$D$7</definedName>
    <definedName name="Maestro">'05.- PU Clave'!$D$5</definedName>
    <definedName name="Met">'05.- PU Clave'!$D$11</definedName>
    <definedName name="Motoniveladora">'05.- PU Clave'!$D$18</definedName>
    <definedName name="Pintor">'05.- PU Clave'!$D$9</definedName>
    <definedName name="RENTABILIDAD" hidden="1">{"'resumen'!$A$1:$D$42"}</definedName>
    <definedName name="Retroexcavadora">'05.- PU Clave'!$D$17</definedName>
    <definedName name="Rodillo">'05.- PU Clave'!$D$19</definedName>
    <definedName name="SCAcmafor">'05.- PU Clave'!$D$39</definedName>
    <definedName name="SCArtElé">'05.- PU Clave'!#REF!</definedName>
    <definedName name="SCBulldog">'05.- PU Clave'!$D$38</definedName>
    <definedName name="SCHidrosembrado">'05.- PU Clave'!$D$40</definedName>
    <definedName name="SCHoj">'05.- PU Clave'!$D$41</definedName>
    <definedName name="SCPV4">'05.- PU Clave'!#REF!</definedName>
    <definedName name="SCSan">'05.- PU Clave'!$D$42</definedName>
    <definedName name="Sector1" hidden="1">{#N/A,#N/A,TRUE,"LP-CO2X"}</definedName>
    <definedName name="SoldadorA">'05.- PU Clave'!$D$13</definedName>
    <definedName name="SoldadorM">'05.- PU Clave'!$D$12</definedName>
    <definedName name="TABIQUERIA" hidden="1">{"'resumen'!$A$1:$D$42"}</definedName>
    <definedName name="Tolva">'05.- PU Clave'!$D$20</definedName>
    <definedName name="UF">'05.- PU Clave'!$J$4</definedName>
    <definedName name="wrn.All._.Equipment." hidden="1">{#N/A,#N/A,TRUE,"LP-CO2X"}</definedName>
    <definedName name="wrn.parq." hidden="1">{#N/A,#N/A,FALSE,"B1-A";#N/A,#N/A,FALSE,"B1-B";#N/A,#N/A,FALSE,"B1-Af";#N/A,#N/A,FALSE,"B-0";#N/A,#N/A,FALSE,"B3-A";#N/A,#N/A,FALSE,"B3-B"}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313" l="1"/>
  <c r="I29" i="313" s="1"/>
  <c r="H28" i="313"/>
  <c r="I28" i="313" s="1"/>
  <c r="H31" i="313"/>
  <c r="H30" i="313"/>
  <c r="H17" i="313"/>
  <c r="I50" i="313"/>
  <c r="I51" i="313"/>
  <c r="I52" i="313"/>
  <c r="G39" i="313"/>
  <c r="H37" i="313"/>
  <c r="H35" i="313"/>
  <c r="H38" i="313"/>
  <c r="H36" i="313"/>
  <c r="H20" i="313"/>
  <c r="I20" i="313" s="1"/>
  <c r="H19" i="313"/>
  <c r="I19" i="313" s="1"/>
  <c r="H18" i="313"/>
  <c r="H55" i="313"/>
  <c r="I55" i="313" s="1"/>
  <c r="H44" i="313"/>
  <c r="H32" i="313"/>
  <c r="I32" i="313"/>
  <c r="H27" i="313"/>
  <c r="I27" i="313" s="1"/>
  <c r="H26" i="313"/>
  <c r="I26" i="313" s="1"/>
  <c r="H25" i="313"/>
  <c r="I25" i="313" s="1"/>
  <c r="H24" i="313"/>
  <c r="H16" i="313"/>
  <c r="H15" i="313"/>
  <c r="G47" i="312" l="1"/>
  <c r="G6" i="312"/>
  <c r="G7" i="312"/>
  <c r="G8" i="312"/>
  <c r="G9" i="312"/>
  <c r="G11" i="312"/>
  <c r="G12" i="312"/>
  <c r="G13" i="312"/>
  <c r="G14" i="312"/>
  <c r="G15" i="312"/>
  <c r="G17" i="312"/>
  <c r="G18" i="312"/>
  <c r="G20" i="312"/>
  <c r="G21" i="312"/>
  <c r="G22" i="312"/>
  <c r="G23" i="312"/>
  <c r="G27" i="312"/>
  <c r="G28" i="312"/>
  <c r="G29" i="312"/>
  <c r="G30" i="312"/>
  <c r="G31" i="312"/>
  <c r="G32" i="312"/>
  <c r="G33" i="312"/>
  <c r="G35" i="312"/>
  <c r="G36" i="312"/>
  <c r="G37" i="312"/>
  <c r="G38" i="312"/>
  <c r="G39" i="312"/>
  <c r="G40" i="312"/>
  <c r="G41" i="312"/>
  <c r="G42" i="312"/>
  <c r="G43" i="312"/>
  <c r="G44" i="312"/>
  <c r="G45" i="312"/>
  <c r="G48" i="312"/>
  <c r="G49" i="312"/>
  <c r="G50" i="312"/>
  <c r="G51" i="312"/>
  <c r="G52" i="312"/>
  <c r="G53" i="312"/>
  <c r="G55" i="312"/>
  <c r="G56" i="312"/>
  <c r="G57" i="312"/>
  <c r="G58" i="312"/>
  <c r="G59" i="312"/>
  <c r="G60" i="312"/>
  <c r="G62" i="312"/>
  <c r="G63" i="312"/>
  <c r="G64" i="312"/>
  <c r="G65" i="312"/>
  <c r="G66" i="312"/>
  <c r="G67" i="312"/>
  <c r="G68" i="312"/>
  <c r="G69" i="312"/>
  <c r="G71" i="312"/>
  <c r="G72" i="312"/>
  <c r="G73" i="312"/>
  <c r="G74" i="312"/>
  <c r="G76" i="312"/>
  <c r="G77" i="312"/>
  <c r="G78" i="312"/>
  <c r="G79" i="312"/>
  <c r="G80" i="312"/>
  <c r="G81" i="312"/>
  <c r="G83" i="312"/>
  <c r="G84" i="312"/>
  <c r="G85" i="312"/>
  <c r="G86" i="312"/>
  <c r="G87" i="312"/>
  <c r="G88" i="312"/>
  <c r="G89" i="312"/>
  <c r="G90" i="312"/>
  <c r="G92" i="312"/>
  <c r="G93" i="312"/>
  <c r="G94" i="312"/>
  <c r="G95" i="312"/>
  <c r="G96" i="312"/>
  <c r="G97" i="312"/>
  <c r="G98" i="312"/>
  <c r="G99" i="312"/>
  <c r="G103" i="312"/>
  <c r="G105" i="312"/>
  <c r="G107" i="312"/>
  <c r="G108" i="312"/>
  <c r="G109" i="312"/>
  <c r="G110" i="312"/>
  <c r="G112" i="312"/>
  <c r="G113" i="312"/>
  <c r="G117" i="312"/>
  <c r="G118" i="312"/>
  <c r="G119" i="312"/>
  <c r="G120" i="312"/>
  <c r="G121" i="312"/>
  <c r="G122" i="312"/>
  <c r="G123" i="312"/>
  <c r="G124" i="312"/>
  <c r="G126" i="312"/>
  <c r="G127" i="312"/>
  <c r="G128" i="312"/>
  <c r="G129" i="312"/>
  <c r="G131" i="312"/>
  <c r="G132" i="312"/>
  <c r="G133" i="312"/>
  <c r="G134" i="312"/>
  <c r="G135" i="312"/>
  <c r="G136" i="312"/>
  <c r="G137" i="312"/>
  <c r="G138" i="312"/>
  <c r="G139" i="312"/>
  <c r="G140" i="312"/>
  <c r="G141" i="312"/>
  <c r="G143" i="312"/>
  <c r="G144" i="312"/>
  <c r="G145" i="312"/>
  <c r="G146" i="312"/>
  <c r="G147" i="312"/>
  <c r="G148" i="312"/>
  <c r="G150" i="312"/>
  <c r="G151" i="312"/>
  <c r="G152" i="312"/>
  <c r="G153" i="312"/>
  <c r="G154" i="312"/>
  <c r="G155" i="312"/>
  <c r="G159" i="312"/>
  <c r="G160" i="312"/>
  <c r="G161" i="312"/>
  <c r="G163" i="312"/>
  <c r="G164" i="312"/>
  <c r="G168" i="312"/>
  <c r="G169" i="312"/>
  <c r="G170" i="312"/>
  <c r="G171" i="312"/>
  <c r="G172" i="312"/>
  <c r="G173" i="312"/>
  <c r="G177" i="312"/>
  <c r="G178" i="312"/>
  <c r="G179" i="312"/>
  <c r="G180" i="312"/>
  <c r="G4" i="312"/>
  <c r="F112" i="312"/>
  <c r="F180" i="312"/>
  <c r="F179" i="312"/>
  <c r="F178" i="312"/>
  <c r="F177" i="312"/>
  <c r="F173" i="312"/>
  <c r="F172" i="312"/>
  <c r="F171" i="312"/>
  <c r="F170" i="312"/>
  <c r="F169" i="312"/>
  <c r="F168" i="312"/>
  <c r="F164" i="312"/>
  <c r="F163" i="312"/>
  <c r="F161" i="312"/>
  <c r="F160" i="312"/>
  <c r="F159" i="312"/>
  <c r="F155" i="312"/>
  <c r="F154" i="312"/>
  <c r="F153" i="312"/>
  <c r="F152" i="312"/>
  <c r="F151" i="312"/>
  <c r="F150" i="312"/>
  <c r="F148" i="312"/>
  <c r="F147" i="312"/>
  <c r="F146" i="312"/>
  <c r="F145" i="312"/>
  <c r="F144" i="312"/>
  <c r="F143" i="312"/>
  <c r="F141" i="312"/>
  <c r="F140" i="312"/>
  <c r="F139" i="312"/>
  <c r="F138" i="312"/>
  <c r="F137" i="312"/>
  <c r="F136" i="312"/>
  <c r="F135" i="312"/>
  <c r="F134" i="312"/>
  <c r="F133" i="312"/>
  <c r="F132" i="312"/>
  <c r="F131" i="312"/>
  <c r="F129" i="312"/>
  <c r="F128" i="312"/>
  <c r="F127" i="312"/>
  <c r="F126" i="312"/>
  <c r="F124" i="312"/>
  <c r="F123" i="312"/>
  <c r="F122" i="312"/>
  <c r="F121" i="312"/>
  <c r="F120" i="312"/>
  <c r="F119" i="312"/>
  <c r="F118" i="312"/>
  <c r="F117" i="312"/>
  <c r="F113" i="312"/>
  <c r="F110" i="312"/>
  <c r="F109" i="312"/>
  <c r="F108" i="312"/>
  <c r="F107" i="312"/>
  <c r="F105" i="312"/>
  <c r="F103" i="312"/>
  <c r="F99" i="312"/>
  <c r="F98" i="312"/>
  <c r="F97" i="312"/>
  <c r="F96" i="312"/>
  <c r="F95" i="312"/>
  <c r="F94" i="312"/>
  <c r="F93" i="312"/>
  <c r="F92" i="312"/>
  <c r="F90" i="312"/>
  <c r="F89" i="312"/>
  <c r="F88" i="312"/>
  <c r="F87" i="312"/>
  <c r="F86" i="312"/>
  <c r="F85" i="312"/>
  <c r="F84" i="312"/>
  <c r="F83" i="312"/>
  <c r="F81" i="312"/>
  <c r="F80" i="312"/>
  <c r="F79" i="312"/>
  <c r="F78" i="312"/>
  <c r="F77" i="312"/>
  <c r="F76" i="312"/>
  <c r="F74" i="312"/>
  <c r="F73" i="312"/>
  <c r="F72" i="312"/>
  <c r="F71" i="312"/>
  <c r="F69" i="312"/>
  <c r="F68" i="312"/>
  <c r="F67" i="312"/>
  <c r="F66" i="312"/>
  <c r="F65" i="312"/>
  <c r="F64" i="312"/>
  <c r="F63" i="312"/>
  <c r="F62" i="312"/>
  <c r="F60" i="312"/>
  <c r="F59" i="312"/>
  <c r="F58" i="312"/>
  <c r="F57" i="312"/>
  <c r="F56" i="312"/>
  <c r="F55" i="312"/>
  <c r="F53" i="312"/>
  <c r="F52" i="312"/>
  <c r="F51" i="312"/>
  <c r="F50" i="312"/>
  <c r="F49" i="312"/>
  <c r="F48" i="312"/>
  <c r="F47" i="312"/>
  <c r="F45" i="312"/>
  <c r="F44" i="312"/>
  <c r="F43" i="312"/>
  <c r="F42" i="312"/>
  <c r="F41" i="312"/>
  <c r="F40" i="312"/>
  <c r="F39" i="312"/>
  <c r="F38" i="312"/>
  <c r="F37" i="312"/>
  <c r="F36" i="312"/>
  <c r="F35" i="312"/>
  <c r="F33" i="312"/>
  <c r="F32" i="312"/>
  <c r="F31" i="312"/>
  <c r="F30" i="312"/>
  <c r="F29" i="312"/>
  <c r="F28" i="312"/>
  <c r="F27" i="312"/>
  <c r="F23" i="312"/>
  <c r="F22" i="312"/>
  <c r="F21" i="312"/>
  <c r="F20" i="312"/>
  <c r="F18" i="312"/>
  <c r="F17" i="312"/>
  <c r="F15" i="312"/>
  <c r="F14" i="312"/>
  <c r="F13" i="312"/>
  <c r="F12" i="312"/>
  <c r="F11" i="312"/>
  <c r="F9" i="312"/>
  <c r="F8" i="312"/>
  <c r="F7" i="312"/>
  <c r="F6" i="312"/>
  <c r="F4" i="312"/>
  <c r="G12" i="148" l="1"/>
  <c r="G16" i="148"/>
  <c r="H16" i="148"/>
  <c r="G15" i="148"/>
  <c r="H15" i="148"/>
  <c r="G17" i="148" s="1"/>
  <c r="H17" i="148" s="1"/>
  <c r="F14" i="148"/>
  <c r="G14" i="148"/>
  <c r="G13" i="148"/>
  <c r="F13" i="148"/>
  <c r="H13" i="148"/>
  <c r="I31" i="313"/>
  <c r="I2" i="313"/>
  <c r="B5" i="313"/>
  <c r="I39" i="313"/>
  <c r="I30" i="313"/>
  <c r="H21" i="313"/>
  <c r="I21" i="313" s="1"/>
  <c r="I37" i="313"/>
  <c r="I36" i="313"/>
  <c r="I35" i="313"/>
  <c r="H14" i="148" l="1"/>
  <c r="I38" i="313"/>
  <c r="I58" i="313" l="1"/>
  <c r="I22" i="313"/>
  <c r="M107" i="135"/>
  <c r="M105" i="135"/>
  <c r="M106" i="135"/>
  <c r="L106" i="135"/>
  <c r="L107" i="135"/>
  <c r="N107" i="135" s="1"/>
  <c r="N106" i="135"/>
  <c r="L105" i="135"/>
  <c r="N105" i="135" s="1"/>
  <c r="N144" i="135"/>
  <c r="N139" i="135"/>
  <c r="N140" i="135"/>
  <c r="N141" i="135"/>
  <c r="N142" i="135"/>
  <c r="N143" i="135"/>
  <c r="N138" i="135"/>
  <c r="M143" i="135"/>
  <c r="M142" i="135"/>
  <c r="M140" i="135"/>
  <c r="M139" i="135"/>
  <c r="M138" i="135"/>
  <c r="L139" i="135"/>
  <c r="L140" i="135"/>
  <c r="L141" i="135"/>
  <c r="L142" i="135"/>
  <c r="L143" i="135"/>
  <c r="J143" i="135"/>
  <c r="L138" i="135"/>
  <c r="C155" i="135"/>
  <c r="D154" i="312" s="1"/>
  <c r="D6" i="312"/>
  <c r="D7" i="312"/>
  <c r="D8" i="312"/>
  <c r="D9" i="312"/>
  <c r="D11" i="312"/>
  <c r="D12" i="312"/>
  <c r="D13" i="312"/>
  <c r="D14" i="312"/>
  <c r="D15" i="312"/>
  <c r="D17" i="312"/>
  <c r="D18" i="312"/>
  <c r="D20" i="312"/>
  <c r="D21" i="312"/>
  <c r="D22" i="312"/>
  <c r="D23" i="312"/>
  <c r="D27" i="312"/>
  <c r="D28" i="312"/>
  <c r="D29" i="312"/>
  <c r="D30" i="312"/>
  <c r="D31" i="312"/>
  <c r="D32" i="312"/>
  <c r="D33" i="312"/>
  <c r="D35" i="312"/>
  <c r="D36" i="312"/>
  <c r="D37" i="312"/>
  <c r="D38" i="312"/>
  <c r="D39" i="312"/>
  <c r="D40" i="312"/>
  <c r="D41" i="312"/>
  <c r="D42" i="312"/>
  <c r="D43" i="312"/>
  <c r="D44" i="312"/>
  <c r="D45" i="312"/>
  <c r="D47" i="312"/>
  <c r="D48" i="312"/>
  <c r="D49" i="312"/>
  <c r="D50" i="312"/>
  <c r="D51" i="312"/>
  <c r="D52" i="312"/>
  <c r="D53" i="312"/>
  <c r="D55" i="312"/>
  <c r="D56" i="312"/>
  <c r="D57" i="312"/>
  <c r="D58" i="312"/>
  <c r="D59" i="312"/>
  <c r="D60" i="312"/>
  <c r="D62" i="312"/>
  <c r="D63" i="312"/>
  <c r="D64" i="312"/>
  <c r="D65" i="312"/>
  <c r="D66" i="312"/>
  <c r="D67" i="312"/>
  <c r="D68" i="312"/>
  <c r="D69" i="312"/>
  <c r="D71" i="312"/>
  <c r="D72" i="312"/>
  <c r="D73" i="312"/>
  <c r="D74" i="312"/>
  <c r="D76" i="312"/>
  <c r="D77" i="312"/>
  <c r="D78" i="312"/>
  <c r="D79" i="312"/>
  <c r="D80" i="312"/>
  <c r="D81" i="312"/>
  <c r="D83" i="312"/>
  <c r="D84" i="312"/>
  <c r="D85" i="312"/>
  <c r="D86" i="312"/>
  <c r="D87" i="312"/>
  <c r="D88" i="312"/>
  <c r="D89" i="312"/>
  <c r="D90" i="312"/>
  <c r="D92" i="312"/>
  <c r="D93" i="312"/>
  <c r="D94" i="312"/>
  <c r="D95" i="312"/>
  <c r="D96" i="312"/>
  <c r="D97" i="312"/>
  <c r="D98" i="312"/>
  <c r="D99" i="312"/>
  <c r="D103" i="312"/>
  <c r="D105" i="312"/>
  <c r="D107" i="312"/>
  <c r="D108" i="312"/>
  <c r="D109" i="312"/>
  <c r="D110" i="312"/>
  <c r="D112" i="312"/>
  <c r="D113" i="312"/>
  <c r="D117" i="312"/>
  <c r="D118" i="312"/>
  <c r="D119" i="312"/>
  <c r="D120" i="312"/>
  <c r="D121" i="312"/>
  <c r="D122" i="312"/>
  <c r="D123" i="312"/>
  <c r="D124" i="312"/>
  <c r="D126" i="312"/>
  <c r="D127" i="312"/>
  <c r="D128" i="312"/>
  <c r="D129" i="312"/>
  <c r="D131" i="312"/>
  <c r="D132" i="312"/>
  <c r="D133" i="312"/>
  <c r="D134" i="312"/>
  <c r="D135" i="312"/>
  <c r="D136" i="312"/>
  <c r="D137" i="312"/>
  <c r="D138" i="312"/>
  <c r="D139" i="312"/>
  <c r="D140" i="312"/>
  <c r="D141" i="312"/>
  <c r="D143" i="312"/>
  <c r="D144" i="312"/>
  <c r="D145" i="312"/>
  <c r="D146" i="312"/>
  <c r="D147" i="312"/>
  <c r="D148" i="312"/>
  <c r="D150" i="312"/>
  <c r="D151" i="312"/>
  <c r="D152" i="312"/>
  <c r="D153" i="312"/>
  <c r="D155" i="312"/>
  <c r="D159" i="312"/>
  <c r="D160" i="312"/>
  <c r="D161" i="312"/>
  <c r="D163" i="312"/>
  <c r="D164" i="312"/>
  <c r="D168" i="312"/>
  <c r="D169" i="312"/>
  <c r="D170" i="312"/>
  <c r="D171" i="312"/>
  <c r="D172" i="312"/>
  <c r="D173" i="312"/>
  <c r="D177" i="312"/>
  <c r="D178" i="312"/>
  <c r="D179" i="312"/>
  <c r="D180" i="312"/>
  <c r="D4" i="312"/>
  <c r="E177" i="312"/>
  <c r="E173" i="312"/>
  <c r="E159" i="312"/>
  <c r="E155" i="312"/>
  <c r="E154" i="312"/>
  <c r="E153" i="312"/>
  <c r="E152" i="312"/>
  <c r="E151" i="312"/>
  <c r="E150" i="312"/>
  <c r="E148" i="312"/>
  <c r="E127" i="312"/>
  <c r="E113" i="312"/>
  <c r="E112" i="312"/>
  <c r="E109" i="312"/>
  <c r="E107" i="312"/>
  <c r="E103" i="312"/>
  <c r="E69" i="312"/>
  <c r="E68" i="312"/>
  <c r="E67" i="312"/>
  <c r="E66" i="312"/>
  <c r="E63" i="312"/>
  <c r="E62" i="312"/>
  <c r="E50" i="312"/>
  <c r="E45" i="312"/>
  <c r="E44" i="312"/>
  <c r="E43" i="312"/>
  <c r="E42" i="312"/>
  <c r="E41" i="312"/>
  <c r="E40" i="312"/>
  <c r="E39" i="312"/>
  <c r="E38" i="312"/>
  <c r="E37" i="312"/>
  <c r="E36" i="312"/>
  <c r="E35" i="312"/>
  <c r="E33" i="312"/>
  <c r="E32" i="312"/>
  <c r="E31" i="312"/>
  <c r="E30" i="312"/>
  <c r="E29" i="312"/>
  <c r="E28" i="312"/>
  <c r="E27" i="312"/>
  <c r="E15" i="312"/>
  <c r="E11" i="312"/>
  <c r="E8" i="312"/>
  <c r="E6" i="312"/>
  <c r="N111" i="135" l="1"/>
  <c r="C164" i="135"/>
  <c r="C70" i="135"/>
  <c r="I66" i="135"/>
  <c r="M66" i="135" s="1"/>
  <c r="I65" i="135"/>
  <c r="M65" i="135" s="1"/>
  <c r="C67" i="135"/>
  <c r="F67" i="135"/>
  <c r="F65" i="135"/>
  <c r="C66" i="135"/>
  <c r="C64" i="135"/>
  <c r="C63" i="135"/>
  <c r="C57" i="135"/>
  <c r="C60" i="135"/>
  <c r="C59" i="135"/>
  <c r="F60" i="135"/>
  <c r="F59" i="135"/>
  <c r="C56" i="135"/>
  <c r="F57" i="135"/>
  <c r="F56" i="135"/>
  <c r="C49" i="135"/>
  <c r="C50" i="135"/>
  <c r="C51" i="135"/>
  <c r="C52" i="135"/>
  <c r="C53" i="135"/>
  <c r="C54" i="135"/>
  <c r="C48" i="135"/>
  <c r="H5" i="301"/>
  <c r="G5" i="300"/>
  <c r="H5" i="300" s="1"/>
  <c r="G5" i="158"/>
  <c r="F33" i="135"/>
  <c r="C33" i="135" s="1"/>
  <c r="I31" i="135"/>
  <c r="M31" i="135"/>
  <c r="M30" i="135"/>
  <c r="F32" i="135"/>
  <c r="C32" i="135" s="1"/>
  <c r="F31" i="135"/>
  <c r="C31" i="135" s="1"/>
  <c r="F30" i="135"/>
  <c r="C30" i="135"/>
  <c r="F29" i="135"/>
  <c r="C29" i="135" s="1"/>
  <c r="F28" i="135"/>
  <c r="C28" i="135"/>
  <c r="F39" i="135"/>
  <c r="F38" i="135"/>
  <c r="C16" i="135"/>
  <c r="C15" i="135"/>
  <c r="C14" i="135"/>
  <c r="C13" i="135"/>
  <c r="M63" i="135" l="1"/>
  <c r="K63" i="135" s="1"/>
  <c r="M28" i="135"/>
  <c r="K28" i="135" s="1"/>
  <c r="C124" i="135" l="1"/>
  <c r="F124" i="135"/>
  <c r="J134" i="135"/>
  <c r="N134" i="135" s="1"/>
  <c r="L133" i="135"/>
  <c r="N133" i="135"/>
  <c r="N129" i="135"/>
  <c r="N128" i="135"/>
  <c r="N127" i="135"/>
  <c r="N122" i="135"/>
  <c r="N123" i="135"/>
  <c r="N121" i="135"/>
  <c r="N119" i="135" s="1"/>
  <c r="L119" i="135" s="1"/>
  <c r="C130" i="135"/>
  <c r="F130" i="135"/>
  <c r="C129" i="135"/>
  <c r="F129" i="135"/>
  <c r="C128" i="135"/>
  <c r="F128" i="135"/>
  <c r="C127" i="135"/>
  <c r="F127" i="135"/>
  <c r="C125" i="135"/>
  <c r="F125" i="135"/>
  <c r="H125" i="135"/>
  <c r="G125" i="135"/>
  <c r="C123" i="135"/>
  <c r="H123" i="135"/>
  <c r="G123" i="135"/>
  <c r="C122" i="135"/>
  <c r="G122" i="135"/>
  <c r="H122" i="135"/>
  <c r="C121" i="135"/>
  <c r="H121" i="135"/>
  <c r="G121" i="135"/>
  <c r="H120" i="135"/>
  <c r="G120" i="135"/>
  <c r="C118" i="135"/>
  <c r="C119" i="135"/>
  <c r="F119" i="135"/>
  <c r="F118" i="135"/>
  <c r="H118" i="135"/>
  <c r="G118" i="135"/>
  <c r="F22" i="135"/>
  <c r="C98" i="135"/>
  <c r="C96" i="135"/>
  <c r="C95" i="135"/>
  <c r="F97" i="135"/>
  <c r="F95" i="135"/>
  <c r="F96" i="135"/>
  <c r="F94" i="135"/>
  <c r="F93" i="135"/>
  <c r="F66" i="135"/>
  <c r="F64" i="135"/>
  <c r="F63" i="135"/>
  <c r="F54" i="135"/>
  <c r="F53" i="135"/>
  <c r="F52" i="135"/>
  <c r="F50" i="135"/>
  <c r="F51" i="135"/>
  <c r="F49" i="135"/>
  <c r="F48" i="135"/>
  <c r="C46" i="135"/>
  <c r="C45" i="135"/>
  <c r="C44" i="135"/>
  <c r="C43" i="135"/>
  <c r="C42" i="135"/>
  <c r="C41" i="135"/>
  <c r="C40" i="135"/>
  <c r="C39" i="135"/>
  <c r="C38" i="135"/>
  <c r="C37" i="135"/>
  <c r="C36" i="135"/>
  <c r="F7" i="296"/>
  <c r="F6" i="296"/>
  <c r="F5" i="296"/>
  <c r="F40" i="155"/>
  <c r="F49" i="155"/>
  <c r="G48" i="155"/>
  <c r="H48" i="155" s="1"/>
  <c r="G47" i="155"/>
  <c r="F47" i="155"/>
  <c r="H47" i="155" s="1"/>
  <c r="F45" i="155"/>
  <c r="F13" i="155"/>
  <c r="F20" i="155" s="1"/>
  <c r="F39" i="155"/>
  <c r="F35" i="155"/>
  <c r="F43" i="155"/>
  <c r="F42" i="155"/>
  <c r="F41" i="155"/>
  <c r="H41" i="155" s="1"/>
  <c r="G38" i="155"/>
  <c r="G37" i="155"/>
  <c r="F37" i="155"/>
  <c r="G34" i="155"/>
  <c r="H34" i="155" s="1"/>
  <c r="G33" i="155"/>
  <c r="F33" i="155"/>
  <c r="H30" i="155"/>
  <c r="G29" i="155"/>
  <c r="F29" i="155"/>
  <c r="G28" i="155"/>
  <c r="F28" i="155"/>
  <c r="G27" i="155"/>
  <c r="F27" i="155"/>
  <c r="F23" i="155"/>
  <c r="G22" i="155"/>
  <c r="H22" i="155" s="1"/>
  <c r="F19" i="155"/>
  <c r="H19" i="155" s="1"/>
  <c r="G18" i="155"/>
  <c r="F18" i="155"/>
  <c r="F16" i="155"/>
  <c r="F15" i="155"/>
  <c r="G14" i="155"/>
  <c r="H14" i="155" s="1"/>
  <c r="F11" i="155"/>
  <c r="H11" i="155" s="1"/>
  <c r="G10" i="155"/>
  <c r="F10" i="155"/>
  <c r="F8" i="155"/>
  <c r="F7" i="155"/>
  <c r="G6" i="155"/>
  <c r="H6" i="155" s="1"/>
  <c r="F13" i="228"/>
  <c r="F12" i="228"/>
  <c r="F11" i="228"/>
  <c r="F10" i="228"/>
  <c r="F7" i="228"/>
  <c r="F5" i="228"/>
  <c r="H12" i="228"/>
  <c r="F20" i="228"/>
  <c r="H20" i="228" s="1"/>
  <c r="G19" i="228"/>
  <c r="H19" i="228" s="1"/>
  <c r="G18" i="228"/>
  <c r="H18" i="228" s="1"/>
  <c r="G17" i="228"/>
  <c r="H11" i="228"/>
  <c r="H9" i="228"/>
  <c r="F8" i="228"/>
  <c r="H8" i="228" s="1"/>
  <c r="H6" i="228"/>
  <c r="F6" i="240"/>
  <c r="G5" i="240"/>
  <c r="H5" i="240" s="1"/>
  <c r="F13" i="305"/>
  <c r="F12" i="305"/>
  <c r="F11" i="305"/>
  <c r="F10" i="305"/>
  <c r="F13" i="304"/>
  <c r="F12" i="304"/>
  <c r="F11" i="304"/>
  <c r="H11" i="304" s="1"/>
  <c r="F10" i="304"/>
  <c r="F13" i="303"/>
  <c r="F12" i="303"/>
  <c r="F11" i="303"/>
  <c r="H11" i="303" s="1"/>
  <c r="F10" i="303"/>
  <c r="H10" i="303" s="1"/>
  <c r="F5" i="303"/>
  <c r="H13" i="305"/>
  <c r="H12" i="305"/>
  <c r="H11" i="305"/>
  <c r="H10" i="305"/>
  <c r="H13" i="304"/>
  <c r="H10" i="304"/>
  <c r="H13" i="303"/>
  <c r="H12" i="303"/>
  <c r="F13" i="302"/>
  <c r="H13" i="302" s="1"/>
  <c r="F12" i="302"/>
  <c r="F11" i="302"/>
  <c r="F10" i="302"/>
  <c r="H10" i="302" s="1"/>
  <c r="H11" i="302"/>
  <c r="F13" i="156"/>
  <c r="H13" i="156" s="1"/>
  <c r="F12" i="156"/>
  <c r="H12" i="156" s="1"/>
  <c r="F11" i="156"/>
  <c r="H11" i="156" s="1"/>
  <c r="F10" i="156"/>
  <c r="H10" i="156" s="1"/>
  <c r="F5" i="302"/>
  <c r="F5" i="304"/>
  <c r="F5" i="305"/>
  <c r="F5" i="156"/>
  <c r="F20" i="156"/>
  <c r="H20" i="156" s="1"/>
  <c r="G19" i="156"/>
  <c r="H19" i="156" s="1"/>
  <c r="G18" i="156"/>
  <c r="H18" i="156" s="1"/>
  <c r="G17" i="156"/>
  <c r="G9" i="156"/>
  <c r="H9" i="156" s="1"/>
  <c r="G5" i="149"/>
  <c r="F15" i="311"/>
  <c r="F14" i="311"/>
  <c r="F13" i="311"/>
  <c r="F12" i="311"/>
  <c r="H12" i="311" s="1"/>
  <c r="F11" i="311"/>
  <c r="F10" i="311"/>
  <c r="F8" i="311"/>
  <c r="F7" i="311"/>
  <c r="F6" i="311"/>
  <c r="F5" i="311"/>
  <c r="G15" i="311"/>
  <c r="H14" i="311"/>
  <c r="H13" i="311"/>
  <c r="G11" i="311"/>
  <c r="H11" i="311"/>
  <c r="G10" i="311"/>
  <c r="H6" i="311"/>
  <c r="F15" i="310"/>
  <c r="F14" i="310"/>
  <c r="F13" i="310"/>
  <c r="H14" i="310"/>
  <c r="F12" i="310"/>
  <c r="F11" i="310"/>
  <c r="F10" i="310"/>
  <c r="F8" i="310"/>
  <c r="F7" i="310"/>
  <c r="F6" i="310"/>
  <c r="F5" i="310"/>
  <c r="G15" i="310"/>
  <c r="H13" i="310"/>
  <c r="H12" i="310"/>
  <c r="H11" i="310"/>
  <c r="G11" i="310"/>
  <c r="G10" i="310"/>
  <c r="H6" i="310"/>
  <c r="F12" i="309"/>
  <c r="F11" i="309"/>
  <c r="F10" i="309"/>
  <c r="F9" i="309"/>
  <c r="H9" i="309" s="1"/>
  <c r="F8" i="309"/>
  <c r="F7" i="309"/>
  <c r="F6" i="309"/>
  <c r="F5" i="309"/>
  <c r="H10" i="309"/>
  <c r="H8" i="309"/>
  <c r="H7" i="309"/>
  <c r="H6" i="309"/>
  <c r="H5" i="309"/>
  <c r="F12" i="308"/>
  <c r="F11" i="308"/>
  <c r="F10" i="308"/>
  <c r="H10" i="308" s="1"/>
  <c r="F9" i="308"/>
  <c r="F8" i="308"/>
  <c r="F7" i="308"/>
  <c r="F6" i="308"/>
  <c r="F5" i="308"/>
  <c r="H5" i="295"/>
  <c r="H5" i="294"/>
  <c r="H5" i="292"/>
  <c r="F19" i="307"/>
  <c r="F18" i="307"/>
  <c r="F17" i="307"/>
  <c r="F16" i="307"/>
  <c r="H16" i="307" s="1"/>
  <c r="F15" i="307"/>
  <c r="F14" i="307"/>
  <c r="F12" i="307"/>
  <c r="F11" i="307"/>
  <c r="F10" i="307"/>
  <c r="F9" i="307"/>
  <c r="F8" i="307"/>
  <c r="F7" i="307"/>
  <c r="F6" i="307"/>
  <c r="F5" i="307"/>
  <c r="G19" i="307"/>
  <c r="H18" i="307"/>
  <c r="H17" i="307"/>
  <c r="G15" i="307"/>
  <c r="G14" i="307"/>
  <c r="H14" i="307"/>
  <c r="H10" i="307"/>
  <c r="H8" i="307"/>
  <c r="G7" i="307"/>
  <c r="G6" i="307"/>
  <c r="H6" i="307" s="1"/>
  <c r="G5" i="307"/>
  <c r="H5" i="307" s="1"/>
  <c r="F19" i="306"/>
  <c r="F18" i="306"/>
  <c r="F17" i="306"/>
  <c r="H17" i="306"/>
  <c r="G19" i="306"/>
  <c r="H19" i="306" s="1"/>
  <c r="F16" i="306"/>
  <c r="H16" i="306" s="1"/>
  <c r="F15" i="306"/>
  <c r="F14" i="306"/>
  <c r="F12" i="306"/>
  <c r="F11" i="306"/>
  <c r="F10" i="306"/>
  <c r="H10" i="306" s="1"/>
  <c r="F9" i="306"/>
  <c r="G15" i="306"/>
  <c r="G14" i="306"/>
  <c r="F8" i="306"/>
  <c r="H8" i="306" s="1"/>
  <c r="F7" i="306"/>
  <c r="F6" i="306"/>
  <c r="F5" i="306"/>
  <c r="G7" i="306"/>
  <c r="G6" i="306"/>
  <c r="G5" i="306"/>
  <c r="G6" i="245"/>
  <c r="H6" i="245" s="1"/>
  <c r="G5" i="245"/>
  <c r="F5" i="245"/>
  <c r="F5" i="229"/>
  <c r="G5" i="229"/>
  <c r="G6" i="229"/>
  <c r="H6" i="229" s="1"/>
  <c r="H5" i="229"/>
  <c r="G5" i="243"/>
  <c r="G6" i="243"/>
  <c r="F5" i="243"/>
  <c r="G6" i="242"/>
  <c r="H6" i="242" s="1"/>
  <c r="G5" i="242"/>
  <c r="F5" i="242"/>
  <c r="H5" i="242" s="1"/>
  <c r="G6" i="237"/>
  <c r="G5" i="237"/>
  <c r="F5" i="237"/>
  <c r="H5" i="158"/>
  <c r="G5" i="225"/>
  <c r="G11" i="148"/>
  <c r="F11" i="148"/>
  <c r="G10" i="148"/>
  <c r="G9" i="148"/>
  <c r="G8" i="148"/>
  <c r="F8" i="148"/>
  <c r="G7" i="148"/>
  <c r="F7" i="148"/>
  <c r="G6" i="148"/>
  <c r="F6" i="148"/>
  <c r="G5" i="148"/>
  <c r="H5" i="148" s="1"/>
  <c r="H9" i="147"/>
  <c r="F7" i="147"/>
  <c r="F6" i="147"/>
  <c r="F11" i="147"/>
  <c r="G13" i="147"/>
  <c r="G14" i="147"/>
  <c r="F12" i="147"/>
  <c r="H12" i="147" s="1"/>
  <c r="G11" i="147"/>
  <c r="G5" i="147"/>
  <c r="H5" i="147" s="1"/>
  <c r="F6" i="299"/>
  <c r="H6" i="299" s="1"/>
  <c r="G5" i="299"/>
  <c r="H5" i="299" s="1"/>
  <c r="F7" i="299"/>
  <c r="G6" i="299"/>
  <c r="F6" i="298"/>
  <c r="G6" i="298"/>
  <c r="G5" i="298"/>
  <c r="H10" i="297"/>
  <c r="F10" i="297"/>
  <c r="G9" i="297"/>
  <c r="F9" i="297"/>
  <c r="F7" i="297"/>
  <c r="F6" i="297"/>
  <c r="G5" i="297"/>
  <c r="H5" i="297" s="1"/>
  <c r="G5" i="283"/>
  <c r="F5" i="283"/>
  <c r="H5" i="283" s="1"/>
  <c r="F5" i="282"/>
  <c r="H5" i="282" s="1"/>
  <c r="G5" i="282"/>
  <c r="F5" i="281"/>
  <c r="G5" i="281"/>
  <c r="F7" i="283"/>
  <c r="G6" i="283"/>
  <c r="F6" i="283"/>
  <c r="H6" i="283" s="1"/>
  <c r="F7" i="282"/>
  <c r="G6" i="282"/>
  <c r="F6" i="282"/>
  <c r="H6" i="282" s="1"/>
  <c r="F7" i="281"/>
  <c r="G6" i="281"/>
  <c r="F6" i="281"/>
  <c r="H6" i="281" s="1"/>
  <c r="H5" i="281"/>
  <c r="G5" i="271"/>
  <c r="H5" i="271" s="1"/>
  <c r="F10" i="271"/>
  <c r="H10" i="271" s="1"/>
  <c r="G9" i="271"/>
  <c r="F9" i="271"/>
  <c r="F7" i="271"/>
  <c r="F6" i="271"/>
  <c r="G11" i="267"/>
  <c r="F11" i="267"/>
  <c r="G10" i="267"/>
  <c r="G9" i="267"/>
  <c r="G8" i="267"/>
  <c r="H8" i="267" s="1"/>
  <c r="F8" i="267"/>
  <c r="G7" i="267"/>
  <c r="F7" i="267"/>
  <c r="G6" i="267"/>
  <c r="H6" i="267" s="1"/>
  <c r="F6" i="267"/>
  <c r="G5" i="267"/>
  <c r="H5" i="267" s="1"/>
  <c r="F10" i="266"/>
  <c r="F9" i="266"/>
  <c r="F8" i="266"/>
  <c r="H8" i="266" s="1"/>
  <c r="F7" i="266"/>
  <c r="H7" i="266" s="1"/>
  <c r="F6" i="266"/>
  <c r="H6" i="266" s="1"/>
  <c r="F5" i="266"/>
  <c r="H5" i="266" s="1"/>
  <c r="H8" i="265"/>
  <c r="G7" i="265"/>
  <c r="F7" i="265"/>
  <c r="G6" i="265"/>
  <c r="H6" i="265" s="1"/>
  <c r="F6" i="265"/>
  <c r="G5" i="265"/>
  <c r="F5" i="265"/>
  <c r="F12" i="263"/>
  <c r="H12" i="263" s="1"/>
  <c r="G11" i="263"/>
  <c r="F11" i="263"/>
  <c r="H11" i="263" s="1"/>
  <c r="G10" i="263"/>
  <c r="F10" i="263"/>
  <c r="F8" i="263"/>
  <c r="F7" i="263"/>
  <c r="F6" i="263"/>
  <c r="H6" i="263" s="1"/>
  <c r="F12" i="262"/>
  <c r="H12" i="262" s="1"/>
  <c r="G11" i="262"/>
  <c r="F11" i="262"/>
  <c r="H11" i="262" s="1"/>
  <c r="H10" i="262"/>
  <c r="G10" i="262"/>
  <c r="F10" i="262"/>
  <c r="F8" i="262"/>
  <c r="F7" i="262"/>
  <c r="F6" i="262"/>
  <c r="H6" i="262" s="1"/>
  <c r="F5" i="259"/>
  <c r="G5" i="259"/>
  <c r="F7" i="259"/>
  <c r="G6" i="259"/>
  <c r="F6" i="259"/>
  <c r="H5" i="259"/>
  <c r="G5" i="261"/>
  <c r="H5" i="261" s="1"/>
  <c r="F7" i="261"/>
  <c r="G6" i="261"/>
  <c r="F6" i="261"/>
  <c r="H6" i="261" s="1"/>
  <c r="H8" i="231"/>
  <c r="G7" i="231"/>
  <c r="H7" i="231" s="1"/>
  <c r="F7" i="231"/>
  <c r="G6" i="231"/>
  <c r="F6" i="231"/>
  <c r="G5" i="231"/>
  <c r="F5" i="231"/>
  <c r="F7" i="226"/>
  <c r="F6" i="226"/>
  <c r="H5" i="226"/>
  <c r="F8" i="290"/>
  <c r="F6" i="290"/>
  <c r="H6" i="290" s="1"/>
  <c r="G5" i="290"/>
  <c r="H5" i="290" s="1"/>
  <c r="G5" i="289"/>
  <c r="H5" i="289" s="1"/>
  <c r="G5" i="288"/>
  <c r="F5" i="290"/>
  <c r="G8" i="290"/>
  <c r="F9" i="286"/>
  <c r="G6" i="286"/>
  <c r="G5" i="286"/>
  <c r="F8" i="287"/>
  <c r="G5" i="287"/>
  <c r="G8" i="287"/>
  <c r="F5" i="287"/>
  <c r="G9" i="286"/>
  <c r="G9" i="285"/>
  <c r="G8" i="285"/>
  <c r="H8" i="285" s="1"/>
  <c r="H7" i="285"/>
  <c r="H6" i="285"/>
  <c r="G5" i="285"/>
  <c r="F5" i="285"/>
  <c r="G5" i="253"/>
  <c r="F8" i="253"/>
  <c r="G8" i="253"/>
  <c r="F5" i="253"/>
  <c r="F8" i="178"/>
  <c r="G5" i="185"/>
  <c r="G5" i="178"/>
  <c r="H5" i="178" s="1"/>
  <c r="G8" i="178"/>
  <c r="F5" i="178"/>
  <c r="F8" i="185"/>
  <c r="F5" i="185"/>
  <c r="G8" i="185"/>
  <c r="F7" i="185"/>
  <c r="H7" i="185" s="1"/>
  <c r="H5" i="185"/>
  <c r="F5" i="176"/>
  <c r="F7" i="176"/>
  <c r="H7" i="176" s="1"/>
  <c r="F6" i="176"/>
  <c r="H6" i="176" s="1"/>
  <c r="G8" i="176"/>
  <c r="H8" i="176" s="1"/>
  <c r="H5" i="176"/>
  <c r="G8" i="254"/>
  <c r="H8" i="254" s="1"/>
  <c r="H7" i="254"/>
  <c r="H6" i="254"/>
  <c r="H5" i="254"/>
  <c r="G5" i="254"/>
  <c r="F5" i="254"/>
  <c r="G8" i="256"/>
  <c r="H8" i="256" s="1"/>
  <c r="H7" i="256"/>
  <c r="H6" i="256"/>
  <c r="G17" i="305"/>
  <c r="G17" i="304"/>
  <c r="G17" i="303"/>
  <c r="G17" i="302"/>
  <c r="G8" i="284"/>
  <c r="H8" i="284" s="1"/>
  <c r="H7" i="284"/>
  <c r="H6" i="284"/>
  <c r="G5" i="284"/>
  <c r="F5" i="284"/>
  <c r="H5" i="284" s="1"/>
  <c r="G8" i="280"/>
  <c r="H8" i="280" s="1"/>
  <c r="H7" i="280"/>
  <c r="H6" i="280"/>
  <c r="G5" i="280"/>
  <c r="F5" i="280"/>
  <c r="G8" i="279"/>
  <c r="H8" i="279" s="1"/>
  <c r="H7" i="279"/>
  <c r="H6" i="279"/>
  <c r="G5" i="279"/>
  <c r="F5" i="279"/>
  <c r="G8" i="278"/>
  <c r="H8" i="278" s="1"/>
  <c r="H7" i="278"/>
  <c r="H6" i="278"/>
  <c r="G5" i="278"/>
  <c r="F5" i="278"/>
  <c r="H5" i="278" s="1"/>
  <c r="G8" i="277"/>
  <c r="H8" i="277" s="1"/>
  <c r="H7" i="277"/>
  <c r="H6" i="277"/>
  <c r="G5" i="277"/>
  <c r="F5" i="277"/>
  <c r="H5" i="277" s="1"/>
  <c r="G8" i="276"/>
  <c r="H8" i="276" s="1"/>
  <c r="H7" i="276"/>
  <c r="H6" i="276"/>
  <c r="G5" i="276"/>
  <c r="F5" i="276"/>
  <c r="H5" i="276" s="1"/>
  <c r="G8" i="275"/>
  <c r="H8" i="275" s="1"/>
  <c r="H7" i="275"/>
  <c r="H6" i="275"/>
  <c r="G5" i="275"/>
  <c r="F5" i="275"/>
  <c r="H5" i="275" s="1"/>
  <c r="G8" i="274"/>
  <c r="H8" i="274" s="1"/>
  <c r="H7" i="274"/>
  <c r="H6" i="274"/>
  <c r="G5" i="274"/>
  <c r="F5" i="274"/>
  <c r="H5" i="274" s="1"/>
  <c r="G8" i="260"/>
  <c r="H8" i="260" s="1"/>
  <c r="H7" i="260"/>
  <c r="H6" i="260"/>
  <c r="G5" i="260"/>
  <c r="F5" i="260"/>
  <c r="H5" i="260" s="1"/>
  <c r="G8" i="258"/>
  <c r="H8" i="258" s="1"/>
  <c r="H7" i="258"/>
  <c r="H6" i="258"/>
  <c r="G5" i="258"/>
  <c r="F5" i="258"/>
  <c r="H5" i="258" s="1"/>
  <c r="G8" i="257"/>
  <c r="H8" i="257" s="1"/>
  <c r="H7" i="257"/>
  <c r="H6" i="257"/>
  <c r="G5" i="257"/>
  <c r="F5" i="257"/>
  <c r="H5" i="257" s="1"/>
  <c r="G7" i="268"/>
  <c r="H7" i="268" s="1"/>
  <c r="H6" i="268"/>
  <c r="F6" i="268"/>
  <c r="H5" i="268"/>
  <c r="G7" i="251"/>
  <c r="H7" i="251" s="1"/>
  <c r="H6" i="251"/>
  <c r="F6" i="251"/>
  <c r="H5" i="251"/>
  <c r="G7" i="227"/>
  <c r="H7" i="227" s="1"/>
  <c r="H6" i="227"/>
  <c r="F6" i="227"/>
  <c r="H5" i="227"/>
  <c r="G7" i="184"/>
  <c r="H7" i="184" s="1"/>
  <c r="F6" i="184"/>
  <c r="H6" i="184" s="1"/>
  <c r="H5" i="184"/>
  <c r="G7" i="173"/>
  <c r="H7" i="173" s="1"/>
  <c r="F6" i="173"/>
  <c r="H6" i="173" s="1"/>
  <c r="H5" i="173"/>
  <c r="G7" i="166"/>
  <c r="G5" i="151"/>
  <c r="F7" i="305"/>
  <c r="H7" i="305" s="1"/>
  <c r="F7" i="304"/>
  <c r="F8" i="304" s="1"/>
  <c r="H8" i="304" s="1"/>
  <c r="G9" i="303"/>
  <c r="H9" i="303" s="1"/>
  <c r="F7" i="303"/>
  <c r="H7" i="303" s="1"/>
  <c r="F20" i="305"/>
  <c r="H20" i="305" s="1"/>
  <c r="G19" i="305"/>
  <c r="H19" i="305" s="1"/>
  <c r="G18" i="305"/>
  <c r="H18" i="305" s="1"/>
  <c r="G9" i="305"/>
  <c r="H9" i="305" s="1"/>
  <c r="F20" i="304"/>
  <c r="H20" i="304" s="1"/>
  <c r="G19" i="304"/>
  <c r="H19" i="304" s="1"/>
  <c r="G18" i="304"/>
  <c r="H18" i="304" s="1"/>
  <c r="G9" i="304"/>
  <c r="H9" i="304" s="1"/>
  <c r="H6" i="304"/>
  <c r="F20" i="303"/>
  <c r="H20" i="303" s="1"/>
  <c r="G19" i="303"/>
  <c r="H19" i="303" s="1"/>
  <c r="G18" i="303"/>
  <c r="H18" i="303" s="1"/>
  <c r="H6" i="303"/>
  <c r="H9" i="302"/>
  <c r="F7" i="302"/>
  <c r="F17" i="302" s="1"/>
  <c r="F20" i="302"/>
  <c r="H20" i="302" s="1"/>
  <c r="G19" i="302"/>
  <c r="H19" i="302" s="1"/>
  <c r="G18" i="302"/>
  <c r="H18" i="302" s="1"/>
  <c r="F12" i="270"/>
  <c r="H12" i="270" s="1"/>
  <c r="G11" i="270"/>
  <c r="F11" i="270"/>
  <c r="G10" i="270"/>
  <c r="F10" i="270"/>
  <c r="F8" i="270"/>
  <c r="F7" i="270"/>
  <c r="F6" i="270"/>
  <c r="H6" i="270" s="1"/>
  <c r="G5" i="256"/>
  <c r="F5" i="256"/>
  <c r="H5" i="256" s="1"/>
  <c r="F7" i="272"/>
  <c r="F6" i="272"/>
  <c r="F5" i="272"/>
  <c r="H5" i="272" s="1"/>
  <c r="G5" i="239"/>
  <c r="H5" i="239" s="1"/>
  <c r="F10" i="239"/>
  <c r="H10" i="239" s="1"/>
  <c r="G9" i="239"/>
  <c r="F9" i="239"/>
  <c r="F7" i="239"/>
  <c r="F6" i="239"/>
  <c r="F10" i="238"/>
  <c r="H10" i="238" s="1"/>
  <c r="G9" i="238"/>
  <c r="F9" i="238"/>
  <c r="F7" i="238"/>
  <c r="F6" i="238"/>
  <c r="G5" i="238"/>
  <c r="H5" i="238" s="1"/>
  <c r="G5" i="230"/>
  <c r="H5" i="230" s="1"/>
  <c r="F10" i="230"/>
  <c r="H10" i="230" s="1"/>
  <c r="G9" i="230"/>
  <c r="F9" i="230"/>
  <c r="F7" i="230"/>
  <c r="F6" i="230"/>
  <c r="F12" i="192"/>
  <c r="F9" i="192"/>
  <c r="H9" i="192" s="1"/>
  <c r="F8" i="192"/>
  <c r="F5" i="192"/>
  <c r="F7" i="192" s="1"/>
  <c r="F16" i="192"/>
  <c r="H16" i="192" s="1"/>
  <c r="G15" i="192"/>
  <c r="G14" i="192"/>
  <c r="G8" i="192"/>
  <c r="G7" i="192"/>
  <c r="H6" i="192"/>
  <c r="F7" i="236"/>
  <c r="F6" i="236"/>
  <c r="F5" i="236"/>
  <c r="H5" i="236" s="1"/>
  <c r="F7" i="189"/>
  <c r="F6" i="189"/>
  <c r="F5" i="189"/>
  <c r="H5" i="189" s="1"/>
  <c r="F7" i="175"/>
  <c r="F6" i="175"/>
  <c r="F5" i="175"/>
  <c r="F15" i="232"/>
  <c r="H15" i="232" s="1"/>
  <c r="G14" i="232"/>
  <c r="F14" i="232"/>
  <c r="H14" i="232" s="1"/>
  <c r="G13" i="232"/>
  <c r="F13" i="232"/>
  <c r="F11" i="232"/>
  <c r="F10" i="232"/>
  <c r="F9" i="232"/>
  <c r="G8" i="232"/>
  <c r="F8" i="232"/>
  <c r="G7" i="232"/>
  <c r="H7" i="232" s="1"/>
  <c r="F6" i="232"/>
  <c r="H6" i="232" s="1"/>
  <c r="F15" i="193"/>
  <c r="H15" i="193" s="1"/>
  <c r="G14" i="193"/>
  <c r="F14" i="193"/>
  <c r="G13" i="193"/>
  <c r="F13" i="193"/>
  <c r="H13" i="193" s="1"/>
  <c r="F11" i="193"/>
  <c r="F10" i="193"/>
  <c r="F9" i="193"/>
  <c r="G8" i="193"/>
  <c r="F8" i="193"/>
  <c r="H8" i="193" s="1"/>
  <c r="G7" i="193"/>
  <c r="H7" i="193" s="1"/>
  <c r="F6" i="193"/>
  <c r="H6" i="193" s="1"/>
  <c r="F11" i="187"/>
  <c r="F8" i="187"/>
  <c r="G8" i="187"/>
  <c r="G7" i="187"/>
  <c r="H7" i="187" s="1"/>
  <c r="H11" i="148" l="1"/>
  <c r="G49" i="155"/>
  <c r="H7" i="267"/>
  <c r="N131" i="135"/>
  <c r="L131" i="135" s="1"/>
  <c r="N125" i="135"/>
  <c r="L125" i="135" s="1"/>
  <c r="F123" i="135"/>
  <c r="F122" i="135"/>
  <c r="F121" i="135"/>
  <c r="F120" i="135"/>
  <c r="C120" i="135" s="1"/>
  <c r="H10" i="155"/>
  <c r="H18" i="155"/>
  <c r="H37" i="155"/>
  <c r="H29" i="155"/>
  <c r="H27" i="155"/>
  <c r="F38" i="155"/>
  <c r="H33" i="155"/>
  <c r="H28" i="155"/>
  <c r="H13" i="228"/>
  <c r="H10" i="228"/>
  <c r="H7" i="228"/>
  <c r="F17" i="228"/>
  <c r="H12" i="304"/>
  <c r="F17" i="305"/>
  <c r="H17" i="305" s="1"/>
  <c r="F17" i="304"/>
  <c r="H7" i="304"/>
  <c r="H17" i="304"/>
  <c r="F17" i="303"/>
  <c r="H12" i="302"/>
  <c r="H17" i="302"/>
  <c r="F6" i="156"/>
  <c r="H6" i="156" s="1"/>
  <c r="F7" i="156"/>
  <c r="F17" i="156" s="1"/>
  <c r="H8" i="178"/>
  <c r="H15" i="311"/>
  <c r="H10" i="311"/>
  <c r="H10" i="310"/>
  <c r="H15" i="310"/>
  <c r="H9" i="308"/>
  <c r="H8" i="308"/>
  <c r="H8" i="185"/>
  <c r="H7" i="307"/>
  <c r="H19" i="307"/>
  <c r="H15" i="307"/>
  <c r="H18" i="306"/>
  <c r="H14" i="306"/>
  <c r="H15" i="306"/>
  <c r="H5" i="306"/>
  <c r="H7" i="306"/>
  <c r="H6" i="306"/>
  <c r="H5" i="245"/>
  <c r="H5" i="243"/>
  <c r="H5" i="159"/>
  <c r="H9" i="239"/>
  <c r="H7" i="265"/>
  <c r="H6" i="148"/>
  <c r="H5" i="231"/>
  <c r="H7" i="148"/>
  <c r="H8" i="148"/>
  <c r="H10" i="147"/>
  <c r="H11" i="147"/>
  <c r="H9" i="297"/>
  <c r="H9" i="271"/>
  <c r="H8" i="253"/>
  <c r="H9" i="238"/>
  <c r="H6" i="231"/>
  <c r="H11" i="267"/>
  <c r="H5" i="265"/>
  <c r="H10" i="263"/>
  <c r="H6" i="259"/>
  <c r="F7" i="290"/>
  <c r="H7" i="290" s="1"/>
  <c r="H8" i="290"/>
  <c r="H5" i="288"/>
  <c r="H8" i="287"/>
  <c r="H5" i="287"/>
  <c r="H6" i="286"/>
  <c r="H9" i="286"/>
  <c r="H5" i="286"/>
  <c r="F7" i="287"/>
  <c r="H7" i="287" s="1"/>
  <c r="F6" i="287"/>
  <c r="H6" i="287" s="1"/>
  <c r="F7" i="286"/>
  <c r="H7" i="286" s="1"/>
  <c r="F8" i="286"/>
  <c r="H8" i="286" s="1"/>
  <c r="H5" i="285"/>
  <c r="H5" i="253"/>
  <c r="F6" i="253"/>
  <c r="H6" i="253" s="1"/>
  <c r="F7" i="253"/>
  <c r="H7" i="253" s="1"/>
  <c r="F6" i="178"/>
  <c r="H6" i="178" s="1"/>
  <c r="F7" i="178"/>
  <c r="H7" i="178" s="1"/>
  <c r="F6" i="185"/>
  <c r="H6" i="185" s="1"/>
  <c r="H17" i="303"/>
  <c r="F8" i="305"/>
  <c r="H5" i="280"/>
  <c r="H5" i="279"/>
  <c r="H6" i="305"/>
  <c r="F8" i="303"/>
  <c r="H8" i="303" s="1"/>
  <c r="H7" i="302"/>
  <c r="F6" i="302"/>
  <c r="H6" i="302" s="1"/>
  <c r="F8" i="302"/>
  <c r="H8" i="302" s="1"/>
  <c r="H10" i="270"/>
  <c r="H11" i="270"/>
  <c r="H9" i="230"/>
  <c r="H7" i="192"/>
  <c r="H8" i="192"/>
  <c r="H15" i="192"/>
  <c r="H14" i="192"/>
  <c r="H13" i="232"/>
  <c r="H8" i="232"/>
  <c r="H14" i="193"/>
  <c r="H8" i="187"/>
  <c r="H38" i="155" l="1"/>
  <c r="G35" i="155"/>
  <c r="G31" i="155"/>
  <c r="H17" i="228"/>
  <c r="H8" i="305"/>
  <c r="F8" i="156"/>
  <c r="H7" i="156"/>
  <c r="H17" i="156"/>
  <c r="H8" i="156"/>
  <c r="H5" i="160"/>
  <c r="F15" i="187"/>
  <c r="H15" i="187" s="1"/>
  <c r="G14" i="187"/>
  <c r="F14" i="187"/>
  <c r="G13" i="187"/>
  <c r="F13" i="187"/>
  <c r="F10" i="187"/>
  <c r="F9" i="187"/>
  <c r="F6" i="187"/>
  <c r="H6" i="187" s="1"/>
  <c r="D34" i="145"/>
  <c r="G5" i="270" s="1"/>
  <c r="H5" i="270" s="1"/>
  <c r="F7" i="269"/>
  <c r="G6" i="269"/>
  <c r="F6" i="269"/>
  <c r="H6" i="269" s="1"/>
  <c r="H5" i="269"/>
  <c r="F7" i="252"/>
  <c r="G6" i="252"/>
  <c r="H6" i="252" s="1"/>
  <c r="F6" i="252"/>
  <c r="H5" i="252"/>
  <c r="F7" i="199"/>
  <c r="G6" i="199"/>
  <c r="F6" i="199"/>
  <c r="H5" i="199"/>
  <c r="F7" i="186"/>
  <c r="G6" i="186"/>
  <c r="F6" i="186"/>
  <c r="H5" i="186"/>
  <c r="F7" i="174"/>
  <c r="G6" i="174"/>
  <c r="F6" i="174"/>
  <c r="H5" i="174"/>
  <c r="F6" i="167"/>
  <c r="F7" i="167"/>
  <c r="G6" i="167"/>
  <c r="E4" i="302"/>
  <c r="G12" i="273"/>
  <c r="G11" i="273"/>
  <c r="F10" i="273"/>
  <c r="H10" i="273" s="1"/>
  <c r="G9" i="273"/>
  <c r="F9" i="273"/>
  <c r="F7" i="273"/>
  <c r="F6" i="273"/>
  <c r="G5" i="273"/>
  <c r="H5" i="273" s="1"/>
  <c r="F8" i="264"/>
  <c r="F7" i="264"/>
  <c r="H6" i="264"/>
  <c r="F6" i="264"/>
  <c r="F10" i="250"/>
  <c r="F9" i="250"/>
  <c r="F8" i="250"/>
  <c r="H8" i="250" s="1"/>
  <c r="F7" i="250"/>
  <c r="H7" i="250" s="1"/>
  <c r="F6" i="250"/>
  <c r="H6" i="250" s="1"/>
  <c r="F5" i="250"/>
  <c r="H5" i="250" s="1"/>
  <c r="H8" i="249"/>
  <c r="G7" i="249"/>
  <c r="F7" i="249"/>
  <c r="G6" i="249"/>
  <c r="F6" i="249"/>
  <c r="G5" i="249"/>
  <c r="F5" i="249"/>
  <c r="G12" i="248"/>
  <c r="G11" i="248"/>
  <c r="F10" i="248"/>
  <c r="H10" i="248" s="1"/>
  <c r="G9" i="248"/>
  <c r="F9" i="248"/>
  <c r="F7" i="248"/>
  <c r="F6" i="248"/>
  <c r="G5" i="248"/>
  <c r="H5" i="248" s="1"/>
  <c r="F8" i="247"/>
  <c r="F7" i="247"/>
  <c r="F6" i="247"/>
  <c r="H6" i="247" s="1"/>
  <c r="F12" i="246"/>
  <c r="H12" i="246" s="1"/>
  <c r="G11" i="246"/>
  <c r="F11" i="246"/>
  <c r="H11" i="246" s="1"/>
  <c r="G10" i="246"/>
  <c r="F10" i="246"/>
  <c r="H10" i="246" s="1"/>
  <c r="F8" i="246"/>
  <c r="F7" i="246"/>
  <c r="F6" i="246"/>
  <c r="H6" i="246" s="1"/>
  <c r="F7" i="244"/>
  <c r="F6" i="244"/>
  <c r="F5" i="244"/>
  <c r="H5" i="244" s="1"/>
  <c r="H8" i="241"/>
  <c r="G7" i="241"/>
  <c r="F7" i="241"/>
  <c r="G6" i="241"/>
  <c r="F6" i="241"/>
  <c r="G5" i="241"/>
  <c r="H5" i="241" s="1"/>
  <c r="F5" i="241"/>
  <c r="F10" i="235"/>
  <c r="F9" i="235"/>
  <c r="H8" i="235"/>
  <c r="F8" i="235"/>
  <c r="F7" i="235"/>
  <c r="H7" i="235" s="1"/>
  <c r="H6" i="235"/>
  <c r="F6" i="235"/>
  <c r="F5" i="235"/>
  <c r="H5" i="235" s="1"/>
  <c r="H8" i="234"/>
  <c r="G7" i="234"/>
  <c r="F7" i="234"/>
  <c r="G6" i="234"/>
  <c r="H6" i="234" s="1"/>
  <c r="F6" i="234"/>
  <c r="G5" i="234"/>
  <c r="F5" i="234"/>
  <c r="F8" i="233"/>
  <c r="F7" i="233"/>
  <c r="F6" i="233"/>
  <c r="H6" i="233" s="1"/>
  <c r="F10" i="197"/>
  <c r="F9" i="197"/>
  <c r="F8" i="197"/>
  <c r="H8" i="197" s="1"/>
  <c r="F7" i="197"/>
  <c r="H7" i="197" s="1"/>
  <c r="F6" i="197"/>
  <c r="H6" i="197" s="1"/>
  <c r="F5" i="197"/>
  <c r="H5" i="197" s="1"/>
  <c r="H8" i="196"/>
  <c r="G7" i="196"/>
  <c r="F7" i="196"/>
  <c r="G6" i="196"/>
  <c r="H6" i="196" s="1"/>
  <c r="F6" i="196"/>
  <c r="G5" i="196"/>
  <c r="F5" i="196"/>
  <c r="G12" i="195"/>
  <c r="G11" i="195"/>
  <c r="F10" i="195"/>
  <c r="H10" i="195" s="1"/>
  <c r="G9" i="195"/>
  <c r="F9" i="195"/>
  <c r="F7" i="195"/>
  <c r="F6" i="195"/>
  <c r="G5" i="195"/>
  <c r="H5" i="195" s="1"/>
  <c r="F8" i="194"/>
  <c r="F7" i="194"/>
  <c r="F6" i="194"/>
  <c r="H6" i="194" s="1"/>
  <c r="F10" i="191"/>
  <c r="F9" i="191"/>
  <c r="F8" i="191"/>
  <c r="H8" i="191" s="1"/>
  <c r="F7" i="191"/>
  <c r="H7" i="191" s="1"/>
  <c r="F6" i="191"/>
  <c r="H6" i="191" s="1"/>
  <c r="F5" i="191"/>
  <c r="H5" i="191" s="1"/>
  <c r="H8" i="190"/>
  <c r="G7" i="190"/>
  <c r="F7" i="190"/>
  <c r="G6" i="190"/>
  <c r="F6" i="190"/>
  <c r="G5" i="190"/>
  <c r="H5" i="190" s="1"/>
  <c r="F5" i="190"/>
  <c r="F8" i="188"/>
  <c r="F7" i="188"/>
  <c r="F6" i="188"/>
  <c r="H6" i="188" s="1"/>
  <c r="F10" i="183"/>
  <c r="F9" i="183"/>
  <c r="F8" i="183"/>
  <c r="H8" i="183" s="1"/>
  <c r="F7" i="183"/>
  <c r="H7" i="183" s="1"/>
  <c r="F6" i="183"/>
  <c r="H6" i="183" s="1"/>
  <c r="F5" i="183"/>
  <c r="H5" i="183" s="1"/>
  <c r="H8" i="182"/>
  <c r="G7" i="182"/>
  <c r="F7" i="182"/>
  <c r="G6" i="182"/>
  <c r="F6" i="182"/>
  <c r="G5" i="182"/>
  <c r="F5" i="182"/>
  <c r="G12" i="181"/>
  <c r="G11" i="181"/>
  <c r="F10" i="181"/>
  <c r="H10" i="181" s="1"/>
  <c r="G9" i="181"/>
  <c r="F9" i="181"/>
  <c r="F7" i="181"/>
  <c r="F6" i="181"/>
  <c r="G5" i="181"/>
  <c r="H5" i="181" s="1"/>
  <c r="F8" i="180"/>
  <c r="F7" i="180"/>
  <c r="H6" i="180"/>
  <c r="F6" i="180"/>
  <c r="F12" i="179"/>
  <c r="H12" i="179" s="1"/>
  <c r="G11" i="179"/>
  <c r="F11" i="179"/>
  <c r="H11" i="179" s="1"/>
  <c r="G10" i="179"/>
  <c r="F10" i="179"/>
  <c r="H10" i="179" s="1"/>
  <c r="F8" i="179"/>
  <c r="F7" i="179"/>
  <c r="F6" i="179"/>
  <c r="H6" i="179" s="1"/>
  <c r="F10" i="172"/>
  <c r="F9" i="172"/>
  <c r="F8" i="172"/>
  <c r="H8" i="172" s="1"/>
  <c r="H7" i="172"/>
  <c r="F7" i="172"/>
  <c r="F6" i="172"/>
  <c r="H6" i="172" s="1"/>
  <c r="F5" i="172"/>
  <c r="H8" i="171"/>
  <c r="G7" i="171"/>
  <c r="F7" i="171"/>
  <c r="G6" i="171"/>
  <c r="F6" i="171"/>
  <c r="G5" i="171"/>
  <c r="H5" i="171" s="1"/>
  <c r="F5" i="171"/>
  <c r="G12" i="170"/>
  <c r="G11" i="170"/>
  <c r="F10" i="170"/>
  <c r="H10" i="170" s="1"/>
  <c r="G9" i="170"/>
  <c r="F9" i="170"/>
  <c r="F7" i="170"/>
  <c r="F6" i="170"/>
  <c r="G5" i="170"/>
  <c r="H5" i="170" s="1"/>
  <c r="F8" i="169"/>
  <c r="F7" i="169"/>
  <c r="F6" i="169"/>
  <c r="H6" i="169" s="1"/>
  <c r="H12" i="168"/>
  <c r="F12" i="168"/>
  <c r="G11" i="168"/>
  <c r="H11" i="168" s="1"/>
  <c r="F11" i="168"/>
  <c r="G10" i="168"/>
  <c r="F10" i="168"/>
  <c r="F8" i="168"/>
  <c r="F7" i="168"/>
  <c r="H6" i="168"/>
  <c r="F6" i="168"/>
  <c r="F6" i="166"/>
  <c r="F5" i="165"/>
  <c r="F6" i="165"/>
  <c r="F7" i="165"/>
  <c r="F8" i="165"/>
  <c r="F10" i="165"/>
  <c r="F9" i="165"/>
  <c r="H8" i="164"/>
  <c r="G7" i="164"/>
  <c r="F7" i="164"/>
  <c r="G6" i="164"/>
  <c r="F6" i="164"/>
  <c r="G5" i="164"/>
  <c r="F5" i="164"/>
  <c r="G12" i="163"/>
  <c r="G11" i="163"/>
  <c r="D35" i="145"/>
  <c r="G5" i="162" s="1"/>
  <c r="H5" i="162" s="1"/>
  <c r="D33" i="145"/>
  <c r="D32" i="145"/>
  <c r="G5" i="179" s="1"/>
  <c r="H5" i="179" s="1"/>
  <c r="G11" i="152"/>
  <c r="G10" i="152"/>
  <c r="G9" i="152"/>
  <c r="G11" i="151"/>
  <c r="G9" i="151"/>
  <c r="G10" i="151"/>
  <c r="F7" i="163"/>
  <c r="F6" i="163"/>
  <c r="F10" i="163"/>
  <c r="H10" i="163" s="1"/>
  <c r="G9" i="163"/>
  <c r="F9" i="163"/>
  <c r="G5" i="163"/>
  <c r="H5" i="163" s="1"/>
  <c r="F8" i="162"/>
  <c r="F7" i="162"/>
  <c r="F6" i="162"/>
  <c r="H6" i="162" s="1"/>
  <c r="G5" i="153"/>
  <c r="H5" i="153" s="1"/>
  <c r="G5" i="152"/>
  <c r="H5" i="152" s="1"/>
  <c r="H5" i="151"/>
  <c r="G6" i="153"/>
  <c r="G8" i="152"/>
  <c r="G7" i="152"/>
  <c r="H7" i="152" s="1"/>
  <c r="G6" i="152"/>
  <c r="G8" i="151"/>
  <c r="G7" i="151"/>
  <c r="G6" i="151"/>
  <c r="G7" i="150"/>
  <c r="G6" i="150"/>
  <c r="G5" i="150"/>
  <c r="G7" i="146"/>
  <c r="G6" i="146"/>
  <c r="G5" i="146"/>
  <c r="G7" i="22"/>
  <c r="G6" i="22"/>
  <c r="G5" i="22"/>
  <c r="F11" i="161"/>
  <c r="F10" i="161"/>
  <c r="F8" i="161"/>
  <c r="F7" i="161"/>
  <c r="G11" i="161"/>
  <c r="G10" i="161"/>
  <c r="F6" i="161"/>
  <c r="F12" i="161"/>
  <c r="F5" i="154"/>
  <c r="F6" i="154"/>
  <c r="F7" i="154"/>
  <c r="F6" i="153"/>
  <c r="F11" i="152"/>
  <c r="F8" i="152"/>
  <c r="F7" i="152"/>
  <c r="F6" i="152"/>
  <c r="F11" i="151"/>
  <c r="F8" i="151"/>
  <c r="F7" i="151"/>
  <c r="F6" i="151"/>
  <c r="G21" i="14"/>
  <c r="G190" i="14"/>
  <c r="G191" i="14"/>
  <c r="G192" i="14"/>
  <c r="G189" i="14"/>
  <c r="G181" i="14"/>
  <c r="G182" i="14"/>
  <c r="G183" i="14"/>
  <c r="G184" i="14"/>
  <c r="G185" i="14"/>
  <c r="G180" i="14"/>
  <c r="G172" i="14"/>
  <c r="G173" i="14"/>
  <c r="G175" i="14"/>
  <c r="G176" i="14"/>
  <c r="G171" i="14"/>
  <c r="G130" i="14"/>
  <c r="G131" i="14"/>
  <c r="G132" i="14"/>
  <c r="F4" i="265" s="1"/>
  <c r="G133" i="14"/>
  <c r="G134" i="14"/>
  <c r="G135" i="14"/>
  <c r="G136" i="14"/>
  <c r="G138" i="14"/>
  <c r="G139" i="14"/>
  <c r="G140" i="14"/>
  <c r="G141" i="14"/>
  <c r="G143" i="14"/>
  <c r="G144" i="14"/>
  <c r="G145" i="14"/>
  <c r="G146" i="14"/>
  <c r="G147" i="14"/>
  <c r="G148" i="14"/>
  <c r="G149" i="14"/>
  <c r="G150" i="14"/>
  <c r="G151" i="14"/>
  <c r="G152" i="14"/>
  <c r="G153" i="14"/>
  <c r="G155" i="14"/>
  <c r="G156" i="14"/>
  <c r="G157" i="14"/>
  <c r="G158" i="14"/>
  <c r="G159" i="14"/>
  <c r="G160" i="14"/>
  <c r="G162" i="14"/>
  <c r="G163" i="14"/>
  <c r="G164" i="14"/>
  <c r="G165" i="14"/>
  <c r="G166" i="14"/>
  <c r="G167" i="14"/>
  <c r="G129" i="14"/>
  <c r="G117" i="14"/>
  <c r="G119" i="14"/>
  <c r="G120" i="14"/>
  <c r="G121" i="14"/>
  <c r="G122" i="14"/>
  <c r="G124" i="14"/>
  <c r="G125" i="14"/>
  <c r="G115" i="14"/>
  <c r="G47" i="14"/>
  <c r="G48" i="14"/>
  <c r="G49" i="14"/>
  <c r="G50" i="14"/>
  <c r="G51" i="14"/>
  <c r="G52" i="14"/>
  <c r="G53" i="14"/>
  <c r="G54" i="14"/>
  <c r="G55" i="14"/>
  <c r="G56" i="14"/>
  <c r="G57" i="14"/>
  <c r="G59" i="14"/>
  <c r="G60" i="14"/>
  <c r="G61" i="14"/>
  <c r="G62" i="14"/>
  <c r="G63" i="14"/>
  <c r="G64" i="14"/>
  <c r="G65" i="14"/>
  <c r="G67" i="14"/>
  <c r="G68" i="14"/>
  <c r="G69" i="14"/>
  <c r="G70" i="14"/>
  <c r="G71" i="14"/>
  <c r="G72" i="14"/>
  <c r="G74" i="14"/>
  <c r="G75" i="14"/>
  <c r="G76" i="14"/>
  <c r="G77" i="14"/>
  <c r="G78" i="14"/>
  <c r="G79" i="14"/>
  <c r="G80" i="14"/>
  <c r="G81" i="14"/>
  <c r="G83" i="14"/>
  <c r="G84" i="14"/>
  <c r="G85" i="14"/>
  <c r="G86" i="14"/>
  <c r="G88" i="14"/>
  <c r="G89" i="14"/>
  <c r="G90" i="14"/>
  <c r="G91" i="14"/>
  <c r="G92" i="14"/>
  <c r="G93" i="14"/>
  <c r="G95" i="14"/>
  <c r="G96" i="14"/>
  <c r="G97" i="14"/>
  <c r="G98" i="14"/>
  <c r="G99" i="14"/>
  <c r="G100" i="14"/>
  <c r="G101" i="14"/>
  <c r="G102" i="14"/>
  <c r="G104" i="14"/>
  <c r="G105" i="14"/>
  <c r="G106" i="14"/>
  <c r="G107" i="14"/>
  <c r="G108" i="14"/>
  <c r="G109" i="14"/>
  <c r="G110" i="14"/>
  <c r="G111" i="14"/>
  <c r="G40" i="14"/>
  <c r="G41" i="14"/>
  <c r="G42" i="14"/>
  <c r="G43" i="14"/>
  <c r="G44" i="14"/>
  <c r="G45" i="14"/>
  <c r="G39" i="14"/>
  <c r="G18" i="14"/>
  <c r="G19" i="14"/>
  <c r="F4" i="147" s="1"/>
  <c r="G20" i="14"/>
  <c r="G23" i="14"/>
  <c r="G24" i="14"/>
  <c r="G25" i="14"/>
  <c r="G26" i="14"/>
  <c r="G27" i="14"/>
  <c r="G29" i="14"/>
  <c r="G30" i="14"/>
  <c r="G32" i="14"/>
  <c r="G33" i="14"/>
  <c r="G34" i="14"/>
  <c r="G35" i="14"/>
  <c r="G16" i="14"/>
  <c r="H8" i="150"/>
  <c r="F7" i="150"/>
  <c r="F6" i="150"/>
  <c r="F5" i="150"/>
  <c r="F8" i="22"/>
  <c r="H8" i="22" s="1"/>
  <c r="F7" i="22"/>
  <c r="F6" i="22"/>
  <c r="F5" i="22"/>
  <c r="F7" i="146"/>
  <c r="F6" i="146"/>
  <c r="F5" i="146"/>
  <c r="G5" i="228" l="1"/>
  <c r="H5" i="228" s="1"/>
  <c r="G5" i="156"/>
  <c r="H5" i="156" s="1"/>
  <c r="J10" i="147"/>
  <c r="J9" i="147"/>
  <c r="K9" i="147"/>
  <c r="K10" i="147"/>
  <c r="G39" i="155"/>
  <c r="G5" i="310"/>
  <c r="H5" i="310" s="1"/>
  <c r="G5" i="311"/>
  <c r="H5" i="311" s="1"/>
  <c r="G9" i="306"/>
  <c r="H9" i="306" s="1"/>
  <c r="G9" i="307"/>
  <c r="H9" i="307" s="1"/>
  <c r="H5" i="164"/>
  <c r="F13" i="147"/>
  <c r="F14" i="147"/>
  <c r="H6" i="241"/>
  <c r="G5" i="262"/>
  <c r="H5" i="262" s="1"/>
  <c r="G5" i="263"/>
  <c r="H5" i="263" s="1"/>
  <c r="H5" i="234"/>
  <c r="H9" i="273"/>
  <c r="H8" i="152"/>
  <c r="G5" i="233"/>
  <c r="H5" i="233" s="1"/>
  <c r="G5" i="168"/>
  <c r="H5" i="168" s="1"/>
  <c r="G5" i="305"/>
  <c r="H5" i="305" s="1"/>
  <c r="G5" i="303"/>
  <c r="H5" i="303" s="1"/>
  <c r="G5" i="302"/>
  <c r="H5" i="302" s="1"/>
  <c r="G5" i="304"/>
  <c r="H5" i="304" s="1"/>
  <c r="G5" i="169"/>
  <c r="H5" i="169" s="1"/>
  <c r="H5" i="182"/>
  <c r="H9" i="181"/>
  <c r="G5" i="188"/>
  <c r="H5" i="188" s="1"/>
  <c r="H9" i="248"/>
  <c r="H6" i="171"/>
  <c r="G5" i="232"/>
  <c r="H5" i="232" s="1"/>
  <c r="G5" i="192"/>
  <c r="H5" i="192" s="1"/>
  <c r="G5" i="193"/>
  <c r="H5" i="193" s="1"/>
  <c r="H7" i="241"/>
  <c r="G5" i="187"/>
  <c r="H5" i="187" s="1"/>
  <c r="H6" i="190"/>
  <c r="H14" i="187"/>
  <c r="H13" i="187"/>
  <c r="H6" i="153"/>
  <c r="G5" i="247"/>
  <c r="H5" i="247" s="1"/>
  <c r="H6" i="164"/>
  <c r="G5" i="180"/>
  <c r="H5" i="180" s="1"/>
  <c r="H7" i="196"/>
  <c r="H6" i="249"/>
  <c r="H6" i="182"/>
  <c r="G5" i="194"/>
  <c r="H5" i="194" s="1"/>
  <c r="H7" i="234"/>
  <c r="G5" i="246"/>
  <c r="H5" i="246" s="1"/>
  <c r="G5" i="264"/>
  <c r="H5" i="264" s="1"/>
  <c r="H7" i="150"/>
  <c r="G5" i="161"/>
  <c r="H7" i="182"/>
  <c r="H9" i="195"/>
  <c r="H6" i="199"/>
  <c r="H6" i="186"/>
  <c r="H6" i="174"/>
  <c r="H5" i="249"/>
  <c r="H7" i="249"/>
  <c r="H5" i="196"/>
  <c r="H7" i="190"/>
  <c r="H5" i="172"/>
  <c r="H7" i="171"/>
  <c r="H9" i="170"/>
  <c r="H10" i="168"/>
  <c r="H7" i="164"/>
  <c r="H11" i="151"/>
  <c r="H9" i="163"/>
  <c r="H6" i="152"/>
  <c r="H8" i="151"/>
  <c r="H7" i="151"/>
  <c r="H6" i="151"/>
  <c r="H6" i="150"/>
  <c r="H5" i="150"/>
  <c r="H7" i="22"/>
  <c r="H6" i="22"/>
  <c r="H5" i="22"/>
  <c r="H11" i="161"/>
  <c r="H10" i="161"/>
  <c r="H11" i="152"/>
  <c r="J14" i="147" l="1"/>
  <c r="H14" i="147"/>
  <c r="K14" i="147" s="1"/>
  <c r="H13" i="147"/>
  <c r="K13" i="147" s="1"/>
  <c r="J13" i="147"/>
  <c r="E4" i="147"/>
  <c r="D4" i="147"/>
  <c r="E4" i="148"/>
  <c r="D4" i="148"/>
  <c r="E4" i="149"/>
  <c r="D4" i="149"/>
  <c r="E4" i="150"/>
  <c r="D4" i="150"/>
  <c r="E4" i="151"/>
  <c r="D4" i="151"/>
  <c r="E4" i="152"/>
  <c r="D4" i="152"/>
  <c r="E4" i="153"/>
  <c r="D4" i="153"/>
  <c r="E4" i="154"/>
  <c r="D4" i="154"/>
  <c r="E4" i="155"/>
  <c r="D4" i="155"/>
  <c r="E4" i="156"/>
  <c r="D4" i="156"/>
  <c r="E4" i="225"/>
  <c r="D4" i="225"/>
  <c r="E4" i="158"/>
  <c r="D4" i="158"/>
  <c r="E4" i="159"/>
  <c r="D4" i="159"/>
  <c r="E4" i="160"/>
  <c r="D4" i="160"/>
  <c r="E4" i="161"/>
  <c r="D4" i="161"/>
  <c r="E4" i="162"/>
  <c r="D4" i="162"/>
  <c r="E4" i="163"/>
  <c r="D4" i="163"/>
  <c r="E4" i="164"/>
  <c r="D4" i="164"/>
  <c r="E4" i="165"/>
  <c r="D4" i="165"/>
  <c r="E4" i="166"/>
  <c r="D4" i="166"/>
  <c r="E4" i="167"/>
  <c r="D4" i="167"/>
  <c r="E4" i="168"/>
  <c r="D4" i="168"/>
  <c r="E4" i="169"/>
  <c r="D4" i="169"/>
  <c r="E4" i="170"/>
  <c r="D4" i="170"/>
  <c r="E4" i="171"/>
  <c r="D4" i="171"/>
  <c r="D4" i="172"/>
  <c r="E4" i="172"/>
  <c r="E4" i="173"/>
  <c r="D4" i="173"/>
  <c r="E4" i="174"/>
  <c r="D4" i="174"/>
  <c r="E4" i="175"/>
  <c r="D4" i="175"/>
  <c r="E4" i="176"/>
  <c r="D4" i="176"/>
  <c r="E4" i="185"/>
  <c r="D4" i="185"/>
  <c r="E4" i="178"/>
  <c r="D4" i="178"/>
  <c r="E4" i="179"/>
  <c r="D4" i="179"/>
  <c r="E4" i="180"/>
  <c r="D4" i="180"/>
  <c r="E4" i="181"/>
  <c r="D4" i="181"/>
  <c r="E4" i="182"/>
  <c r="D4" i="182"/>
  <c r="E4" i="183"/>
  <c r="D4" i="183"/>
  <c r="E4" i="184"/>
  <c r="D4" i="184"/>
  <c r="E4" i="186"/>
  <c r="D4" i="186"/>
  <c r="E4" i="187"/>
  <c r="D4" i="187"/>
  <c r="E4" i="188"/>
  <c r="D4" i="188"/>
  <c r="E4" i="189"/>
  <c r="D4" i="189"/>
  <c r="E4" i="190"/>
  <c r="D4" i="190"/>
  <c r="E4" i="191"/>
  <c r="D4" i="191"/>
  <c r="E4" i="192"/>
  <c r="D4" i="192"/>
  <c r="E4" i="193"/>
  <c r="D4" i="193"/>
  <c r="E4" i="194"/>
  <c r="D4" i="194"/>
  <c r="E4" i="195"/>
  <c r="D4" i="195"/>
  <c r="E4" i="196"/>
  <c r="D4" i="196"/>
  <c r="E4" i="197"/>
  <c r="D4" i="197"/>
  <c r="E4" i="199"/>
  <c r="D4" i="199"/>
  <c r="D4" i="226"/>
  <c r="E4" i="226"/>
  <c r="E4" i="227"/>
  <c r="D4" i="227"/>
  <c r="E4" i="228"/>
  <c r="D4" i="228"/>
  <c r="E4" i="229"/>
  <c r="D4" i="229"/>
  <c r="E4" i="230"/>
  <c r="D4" i="230"/>
  <c r="E4" i="231"/>
  <c r="D4" i="231"/>
  <c r="E4" i="232"/>
  <c r="D4" i="232"/>
  <c r="E4" i="233"/>
  <c r="D4" i="233"/>
  <c r="E4" i="234"/>
  <c r="D4" i="234"/>
  <c r="E4" i="235"/>
  <c r="D4" i="235"/>
  <c r="E4" i="236"/>
  <c r="D4" i="236"/>
  <c r="E4" i="237"/>
  <c r="D4" i="237"/>
  <c r="E4" i="238"/>
  <c r="E5" i="155" s="1"/>
  <c r="D4" i="238"/>
  <c r="D5" i="155" s="1"/>
  <c r="E4" i="239"/>
  <c r="E13" i="155" s="1"/>
  <c r="D4" i="239"/>
  <c r="D13" i="155" s="1"/>
  <c r="E4" i="240"/>
  <c r="E21" i="155" s="1"/>
  <c r="D4" i="240"/>
  <c r="D21" i="155" s="1"/>
  <c r="E4" i="241"/>
  <c r="E26" i="155" s="1"/>
  <c r="D4" i="241"/>
  <c r="D26" i="155" s="1"/>
  <c r="E4" i="242"/>
  <c r="E32" i="155" s="1"/>
  <c r="D4" i="242"/>
  <c r="D32" i="155" s="1"/>
  <c r="E4" i="243"/>
  <c r="E36" i="155" s="1"/>
  <c r="D4" i="243"/>
  <c r="D36" i="155" s="1"/>
  <c r="E4" i="244"/>
  <c r="E40" i="155" s="1"/>
  <c r="D4" i="244"/>
  <c r="D40" i="155" s="1"/>
  <c r="E4" i="245"/>
  <c r="E46" i="155" s="1"/>
  <c r="D4" i="245"/>
  <c r="D46" i="155" s="1"/>
  <c r="E4" i="246"/>
  <c r="D4" i="246"/>
  <c r="E4" i="247"/>
  <c r="D4" i="247"/>
  <c r="E4" i="248"/>
  <c r="D4" i="248"/>
  <c r="E4" i="249"/>
  <c r="D4" i="249"/>
  <c r="E4" i="250"/>
  <c r="D4" i="250"/>
  <c r="E4" i="251"/>
  <c r="D4" i="251"/>
  <c r="E4" i="252"/>
  <c r="D4" i="252"/>
  <c r="E4" i="253"/>
  <c r="D4" i="253"/>
  <c r="E4" i="254"/>
  <c r="D4" i="254"/>
  <c r="E4" i="255"/>
  <c r="D4" i="255"/>
  <c r="E4" i="256"/>
  <c r="D4" i="256"/>
  <c r="E4" i="257"/>
  <c r="D4" i="257"/>
  <c r="E4" i="258"/>
  <c r="D4" i="258"/>
  <c r="E4" i="259"/>
  <c r="D4" i="259"/>
  <c r="E4" i="260"/>
  <c r="D4" i="260"/>
  <c r="E4" i="261"/>
  <c r="D4" i="261"/>
  <c r="E4" i="262"/>
  <c r="D4" i="262"/>
  <c r="E4" i="263"/>
  <c r="D4" i="263"/>
  <c r="E4" i="264"/>
  <c r="D4" i="264"/>
  <c r="E4" i="265"/>
  <c r="D4" i="265"/>
  <c r="E4" i="266"/>
  <c r="D4" i="266"/>
  <c r="E4" i="267"/>
  <c r="D4" i="267"/>
  <c r="E4" i="268"/>
  <c r="D4" i="268"/>
  <c r="E4" i="269"/>
  <c r="D4" i="269"/>
  <c r="E4" i="270"/>
  <c r="D4" i="270"/>
  <c r="E4" i="271"/>
  <c r="D4" i="271"/>
  <c r="E4" i="272"/>
  <c r="D4" i="272"/>
  <c r="E4" i="273"/>
  <c r="D4" i="273"/>
  <c r="E4" i="274"/>
  <c r="D4" i="274"/>
  <c r="E4" i="275"/>
  <c r="D4" i="275"/>
  <c r="E4" i="276"/>
  <c r="D4" i="276"/>
  <c r="E4" i="277"/>
  <c r="D4" i="277"/>
  <c r="E4" i="278"/>
  <c r="D4" i="278"/>
  <c r="E4" i="279"/>
  <c r="D4" i="279"/>
  <c r="E4" i="280"/>
  <c r="D4" i="280"/>
  <c r="E4" i="281"/>
  <c r="D4" i="281"/>
  <c r="E4" i="282"/>
  <c r="D4" i="282"/>
  <c r="E4" i="283"/>
  <c r="D4" i="283"/>
  <c r="E4" i="284"/>
  <c r="D4" i="284"/>
  <c r="E4" i="285"/>
  <c r="D4" i="285"/>
  <c r="E4" i="286"/>
  <c r="D4" i="286"/>
  <c r="E4" i="287"/>
  <c r="D4" i="287"/>
  <c r="E4" i="288"/>
  <c r="D4" i="288"/>
  <c r="E4" i="289"/>
  <c r="D4" i="289"/>
  <c r="E4" i="290"/>
  <c r="D4" i="290"/>
  <c r="E4" i="291"/>
  <c r="D4" i="291"/>
  <c r="E4" i="292"/>
  <c r="D4" i="292"/>
  <c r="E4" i="293"/>
  <c r="D4" i="293"/>
  <c r="E4" i="294"/>
  <c r="D4" i="294"/>
  <c r="E4" i="295"/>
  <c r="D4" i="295"/>
  <c r="E4" i="296"/>
  <c r="D4" i="296"/>
  <c r="E4" i="297"/>
  <c r="D4" i="297"/>
  <c r="E4" i="298"/>
  <c r="D4" i="298"/>
  <c r="E4" i="299"/>
  <c r="D4" i="299"/>
  <c r="E4" i="300"/>
  <c r="D4" i="300"/>
  <c r="E4" i="301"/>
  <c r="D4" i="301"/>
  <c r="D4" i="302"/>
  <c r="E4" i="303"/>
  <c r="D4" i="303"/>
  <c r="E4" i="304"/>
  <c r="D4" i="304"/>
  <c r="E4" i="305"/>
  <c r="D4" i="305"/>
  <c r="E4" i="306"/>
  <c r="D4" i="306"/>
  <c r="E4" i="307"/>
  <c r="D4" i="307"/>
  <c r="E4" i="308"/>
  <c r="D4" i="308"/>
  <c r="E4" i="309"/>
  <c r="D4" i="309"/>
  <c r="E4" i="310"/>
  <c r="D4" i="310"/>
  <c r="E4" i="311"/>
  <c r="D4" i="311"/>
  <c r="E4" i="146"/>
  <c r="D4" i="146"/>
  <c r="D4" i="22"/>
  <c r="E4" i="22"/>
  <c r="F4" i="300"/>
  <c r="F4" i="299"/>
  <c r="F4" i="298"/>
  <c r="F4" i="297"/>
  <c r="F4" i="296"/>
  <c r="F4" i="284"/>
  <c r="F4" i="283"/>
  <c r="F4" i="281"/>
  <c r="F4" i="278"/>
  <c r="F4" i="275"/>
  <c r="F4" i="274"/>
  <c r="F4" i="257"/>
  <c r="F4" i="190"/>
  <c r="F4" i="171"/>
  <c r="F4" i="170"/>
  <c r="F4" i="169"/>
  <c r="F4" i="160"/>
  <c r="F4" i="159"/>
  <c r="F4" i="307"/>
  <c r="K9" i="307" s="1"/>
  <c r="F4" i="272"/>
  <c r="F4" i="268"/>
  <c r="H7" i="308"/>
  <c r="H5" i="308"/>
  <c r="F7" i="298"/>
  <c r="H5" i="298"/>
  <c r="H6" i="298"/>
  <c r="H6" i="255"/>
  <c r="H5" i="175"/>
  <c r="H6" i="166"/>
  <c r="H8" i="165"/>
  <c r="H6" i="165"/>
  <c r="H12" i="161"/>
  <c r="H7" i="146"/>
  <c r="F4" i="311"/>
  <c r="F4" i="310"/>
  <c r="F4" i="309"/>
  <c r="F4" i="308"/>
  <c r="I188" i="14"/>
  <c r="F4" i="306"/>
  <c r="F4" i="305"/>
  <c r="F4" i="304"/>
  <c r="F4" i="303"/>
  <c r="F4" i="302"/>
  <c r="I179" i="14"/>
  <c r="F4" i="301"/>
  <c r="I170" i="14"/>
  <c r="F4" i="295"/>
  <c r="F4" i="292"/>
  <c r="F4" i="290"/>
  <c r="F4" i="260"/>
  <c r="F4" i="256"/>
  <c r="J10" i="303" l="1"/>
  <c r="J11" i="303"/>
  <c r="J12" i="303"/>
  <c r="J13" i="303"/>
  <c r="K11" i="303"/>
  <c r="K13" i="303"/>
  <c r="K10" i="303"/>
  <c r="K12" i="303"/>
  <c r="J9" i="311"/>
  <c r="J11" i="311"/>
  <c r="J12" i="311"/>
  <c r="J13" i="311"/>
  <c r="J14" i="311"/>
  <c r="J15" i="311"/>
  <c r="K11" i="311"/>
  <c r="J8" i="311"/>
  <c r="J10" i="311"/>
  <c r="K14" i="311"/>
  <c r="K12" i="311"/>
  <c r="K13" i="311"/>
  <c r="K10" i="311"/>
  <c r="K15" i="311"/>
  <c r="J9" i="307"/>
  <c r="J11" i="307"/>
  <c r="J12" i="307"/>
  <c r="J13" i="307"/>
  <c r="J10" i="307"/>
  <c r="J16" i="307"/>
  <c r="J15" i="307"/>
  <c r="K16" i="307"/>
  <c r="K10" i="307"/>
  <c r="K14" i="307"/>
  <c r="J14" i="307"/>
  <c r="K15" i="307"/>
  <c r="J10" i="304"/>
  <c r="J11" i="304"/>
  <c r="J13" i="304"/>
  <c r="K10" i="304"/>
  <c r="K11" i="304"/>
  <c r="K13" i="304"/>
  <c r="J12" i="304"/>
  <c r="K12" i="304"/>
  <c r="J15" i="310"/>
  <c r="J9" i="310"/>
  <c r="J10" i="310"/>
  <c r="J13" i="310"/>
  <c r="J11" i="310"/>
  <c r="J8" i="310"/>
  <c r="J12" i="310"/>
  <c r="K12" i="310"/>
  <c r="K13" i="310"/>
  <c r="K14" i="310"/>
  <c r="K11" i="310"/>
  <c r="J14" i="310"/>
  <c r="K10" i="310"/>
  <c r="K15" i="310"/>
  <c r="J10" i="305"/>
  <c r="K11" i="305"/>
  <c r="K13" i="305"/>
  <c r="J13" i="305"/>
  <c r="J11" i="305"/>
  <c r="J12" i="305"/>
  <c r="K12" i="305"/>
  <c r="K10" i="305"/>
  <c r="K7" i="305"/>
  <c r="J7" i="305"/>
  <c r="J8" i="305"/>
  <c r="K17" i="305"/>
  <c r="J17" i="305"/>
  <c r="K8" i="305"/>
  <c r="J9" i="304"/>
  <c r="K9" i="304"/>
  <c r="J17" i="304"/>
  <c r="K17" i="304"/>
  <c r="J14" i="304"/>
  <c r="J18" i="303"/>
  <c r="J19" i="303"/>
  <c r="K18" i="303"/>
  <c r="K19" i="303"/>
  <c r="K17" i="303"/>
  <c r="J17" i="303"/>
  <c r="K13" i="302"/>
  <c r="J13" i="302"/>
  <c r="K11" i="302"/>
  <c r="K10" i="302"/>
  <c r="J11" i="302"/>
  <c r="J12" i="302"/>
  <c r="J10" i="302"/>
  <c r="K12" i="302"/>
  <c r="J17" i="302"/>
  <c r="K17" i="302"/>
  <c r="K10" i="308"/>
  <c r="J8" i="308"/>
  <c r="J9" i="308"/>
  <c r="J10" i="308"/>
  <c r="K8" i="308"/>
  <c r="K9" i="308"/>
  <c r="J13" i="306"/>
  <c r="J14" i="306"/>
  <c r="K19" i="306"/>
  <c r="J11" i="306"/>
  <c r="J19" i="306"/>
  <c r="K16" i="306"/>
  <c r="J9" i="306"/>
  <c r="J15" i="306"/>
  <c r="J10" i="306"/>
  <c r="K17" i="306"/>
  <c r="K10" i="306"/>
  <c r="J17" i="306"/>
  <c r="J18" i="306"/>
  <c r="J12" i="306"/>
  <c r="J16" i="306"/>
  <c r="K18" i="306"/>
  <c r="K9" i="306"/>
  <c r="K14" i="306"/>
  <c r="K15" i="306"/>
  <c r="J8" i="306"/>
  <c r="J5" i="306"/>
  <c r="J6" i="306"/>
  <c r="J7" i="306"/>
  <c r="K8" i="306"/>
  <c r="K6" i="306"/>
  <c r="K5" i="306"/>
  <c r="K7" i="306"/>
  <c r="J9" i="302"/>
  <c r="K9" i="302"/>
  <c r="J18" i="302"/>
  <c r="J16" i="302"/>
  <c r="J19" i="302"/>
  <c r="K19" i="302"/>
  <c r="K18" i="302"/>
  <c r="J15" i="302"/>
  <c r="J14" i="302"/>
  <c r="F12" i="170"/>
  <c r="H12" i="170" s="1"/>
  <c r="F11" i="170"/>
  <c r="H11" i="170" s="1"/>
  <c r="H5" i="165"/>
  <c r="H5" i="237"/>
  <c r="H6" i="237"/>
  <c r="H6" i="308"/>
  <c r="H5" i="293"/>
  <c r="H5" i="255"/>
  <c r="H5" i="225"/>
  <c r="H7" i="165"/>
  <c r="H6" i="167"/>
  <c r="H5" i="166"/>
  <c r="H6" i="161"/>
  <c r="H5" i="154"/>
  <c r="H5" i="149"/>
  <c r="H5" i="146"/>
  <c r="H6" i="146"/>
  <c r="H8" i="146"/>
  <c r="H5" i="291" l="1"/>
  <c r="H5" i="296"/>
  <c r="H5" i="167"/>
  <c r="H5" i="161"/>
  <c r="F4" i="248"/>
  <c r="F4" i="247"/>
  <c r="F4" i="246"/>
  <c r="F4" i="240"/>
  <c r="F4" i="239"/>
  <c r="F4" i="236"/>
  <c r="F4" i="235"/>
  <c r="F4" i="233"/>
  <c r="F4" i="226"/>
  <c r="F4" i="199"/>
  <c r="F4" i="197"/>
  <c r="F4" i="196"/>
  <c r="F4" i="186"/>
  <c r="F4" i="184"/>
  <c r="F4" i="182"/>
  <c r="F4" i="180"/>
  <c r="F4" i="176"/>
  <c r="F4" i="175"/>
  <c r="F4" i="174"/>
  <c r="F4" i="172"/>
  <c r="F4" i="168"/>
  <c r="F4" i="253"/>
  <c r="F4" i="245"/>
  <c r="F4" i="244"/>
  <c r="F4" i="238"/>
  <c r="F4" i="237"/>
  <c r="F4" i="231"/>
  <c r="F4" i="192"/>
  <c r="F4" i="188"/>
  <c r="F4" i="178"/>
  <c r="F4" i="167"/>
  <c r="F4" i="166"/>
  <c r="F4" i="165"/>
  <c r="F4" i="158"/>
  <c r="F4" i="225"/>
  <c r="F4" i="156"/>
  <c r="F4" i="155"/>
  <c r="J47" i="155" s="1"/>
  <c r="F4" i="152"/>
  <c r="F4" i="151"/>
  <c r="K8" i="192" l="1"/>
  <c r="J9" i="192"/>
  <c r="J8" i="192"/>
  <c r="K9" i="192"/>
  <c r="J11" i="192"/>
  <c r="J10" i="192"/>
  <c r="J7" i="192"/>
  <c r="K7" i="192"/>
  <c r="J13" i="156"/>
  <c r="K13" i="156"/>
  <c r="K10" i="156"/>
  <c r="J11" i="156"/>
  <c r="K11" i="156"/>
  <c r="J12" i="156"/>
  <c r="J10" i="156"/>
  <c r="K12" i="156"/>
  <c r="F10" i="151"/>
  <c r="F9" i="151"/>
  <c r="F50" i="155"/>
  <c r="J48" i="155"/>
  <c r="K48" i="155" s="1"/>
  <c r="K47" i="155"/>
  <c r="H49" i="155"/>
  <c r="J42" i="155"/>
  <c r="J34" i="155"/>
  <c r="K34" i="155" s="1"/>
  <c r="O4" i="155" s="1"/>
  <c r="J17" i="155"/>
  <c r="J18" i="155"/>
  <c r="K18" i="155" s="1"/>
  <c r="J44" i="155"/>
  <c r="J16" i="155"/>
  <c r="J33" i="155"/>
  <c r="K33" i="155" s="1"/>
  <c r="J14" i="155"/>
  <c r="K14" i="155" s="1"/>
  <c r="J15" i="155"/>
  <c r="J41" i="155"/>
  <c r="K41" i="155" s="1"/>
  <c r="J43" i="155"/>
  <c r="J19" i="155"/>
  <c r="K19" i="155" s="1"/>
  <c r="J37" i="155"/>
  <c r="K37" i="155" s="1"/>
  <c r="J38" i="155"/>
  <c r="K38" i="155" s="1"/>
  <c r="F26" i="155"/>
  <c r="F21" i="155"/>
  <c r="H35" i="155"/>
  <c r="H39" i="155"/>
  <c r="J19" i="156"/>
  <c r="J20" i="156"/>
  <c r="J9" i="156"/>
  <c r="J16" i="156"/>
  <c r="J18" i="156"/>
  <c r="K20" i="156"/>
  <c r="K9" i="156"/>
  <c r="K18" i="156"/>
  <c r="K19" i="156"/>
  <c r="J6" i="156"/>
  <c r="J14" i="156"/>
  <c r="J17" i="156"/>
  <c r="J8" i="156"/>
  <c r="K7" i="156"/>
  <c r="K6" i="156"/>
  <c r="J15" i="156"/>
  <c r="J7" i="156"/>
  <c r="K17" i="156"/>
  <c r="K8" i="156"/>
  <c r="J6" i="245"/>
  <c r="K6" i="245"/>
  <c r="F12" i="248"/>
  <c r="H12" i="248" s="1"/>
  <c r="F11" i="248"/>
  <c r="H11" i="248" s="1"/>
  <c r="J11" i="172"/>
  <c r="J10" i="172"/>
  <c r="J7" i="172"/>
  <c r="J5" i="172"/>
  <c r="K7" i="172"/>
  <c r="K8" i="172"/>
  <c r="J9" i="172"/>
  <c r="K6" i="172"/>
  <c r="J6" i="172"/>
  <c r="J8" i="172"/>
  <c r="K5" i="172"/>
  <c r="F10" i="152"/>
  <c r="H10" i="152" s="1"/>
  <c r="F9" i="152"/>
  <c r="H9" i="152" s="1"/>
  <c r="F13" i="145"/>
  <c r="D13" i="145" s="1"/>
  <c r="F12" i="145"/>
  <c r="D12" i="145" s="1"/>
  <c r="F6" i="145"/>
  <c r="D6" i="145" s="1"/>
  <c r="G10" i="266" s="1"/>
  <c r="H10" i="266" s="1"/>
  <c r="F7" i="145"/>
  <c r="D7" i="145" s="1"/>
  <c r="F8" i="145"/>
  <c r="D8" i="145" s="1"/>
  <c r="F9" i="145"/>
  <c r="D9" i="145" s="1"/>
  <c r="G10" i="285" s="1"/>
  <c r="F5" i="145"/>
  <c r="D5" i="145" s="1"/>
  <c r="G14" i="156" l="1"/>
  <c r="H14" i="156" s="1"/>
  <c r="G42" i="155"/>
  <c r="H42" i="155" s="1"/>
  <c r="G14" i="228"/>
  <c r="H14" i="228" s="1"/>
  <c r="G23" i="155"/>
  <c r="H23" i="155" s="1"/>
  <c r="G15" i="155"/>
  <c r="H15" i="155" s="1"/>
  <c r="G7" i="155"/>
  <c r="H7" i="155" s="1"/>
  <c r="K42" i="155"/>
  <c r="G43" i="155"/>
  <c r="H43" i="155" s="1"/>
  <c r="G15" i="156"/>
  <c r="H15" i="156" s="1"/>
  <c r="K15" i="156" s="1"/>
  <c r="G16" i="155"/>
  <c r="H16" i="155" s="1"/>
  <c r="G8" i="155"/>
  <c r="H8" i="155" s="1"/>
  <c r="G15" i="228"/>
  <c r="H15" i="228" s="1"/>
  <c r="G24" i="155"/>
  <c r="H24" i="155" s="1"/>
  <c r="K15" i="155"/>
  <c r="K16" i="155"/>
  <c r="K43" i="155"/>
  <c r="J9" i="151"/>
  <c r="H9" i="151"/>
  <c r="K9" i="151" s="1"/>
  <c r="J10" i="151"/>
  <c r="H10" i="151"/>
  <c r="K10" i="151" s="1"/>
  <c r="H46" i="155"/>
  <c r="J30" i="155"/>
  <c r="K30" i="155" s="1"/>
  <c r="J28" i="155"/>
  <c r="K28" i="155" s="1"/>
  <c r="J29" i="155"/>
  <c r="K29" i="155" s="1"/>
  <c r="J27" i="155"/>
  <c r="K27" i="155" s="1"/>
  <c r="J22" i="155"/>
  <c r="K22" i="155" s="1"/>
  <c r="J24" i="155"/>
  <c r="J23" i="155"/>
  <c r="K23" i="155" s="1"/>
  <c r="F25" i="155"/>
  <c r="F31" i="155"/>
  <c r="H36" i="155"/>
  <c r="H32" i="155"/>
  <c r="F5" i="155"/>
  <c r="G11" i="309"/>
  <c r="H11" i="309" s="1"/>
  <c r="G7" i="310"/>
  <c r="H7" i="310" s="1"/>
  <c r="G7" i="311"/>
  <c r="H7" i="311" s="1"/>
  <c r="G8" i="310"/>
  <c r="H8" i="310" s="1"/>
  <c r="K8" i="310" s="1"/>
  <c r="G8" i="311"/>
  <c r="H8" i="311" s="1"/>
  <c r="K8" i="311" s="1"/>
  <c r="G12" i="309"/>
  <c r="H12" i="309" s="1"/>
  <c r="G11" i="307"/>
  <c r="H11" i="307" s="1"/>
  <c r="G11" i="306"/>
  <c r="H11" i="306" s="1"/>
  <c r="G12" i="307"/>
  <c r="H12" i="307" s="1"/>
  <c r="K12" i="307" s="1"/>
  <c r="G12" i="306"/>
  <c r="H12" i="306" s="1"/>
  <c r="K12" i="306" s="1"/>
  <c r="G6" i="297"/>
  <c r="H6" i="297" s="1"/>
  <c r="G6" i="271"/>
  <c r="H6" i="271" s="1"/>
  <c r="G7" i="282"/>
  <c r="H7" i="282" s="1"/>
  <c r="G8" i="282" s="1"/>
  <c r="H8" i="282" s="1"/>
  <c r="G7" i="281"/>
  <c r="H7" i="281" s="1"/>
  <c r="G8" i="281" s="1"/>
  <c r="H8" i="281" s="1"/>
  <c r="G7" i="283"/>
  <c r="H7" i="283" s="1"/>
  <c r="G8" i="283" s="1"/>
  <c r="H8" i="283" s="1"/>
  <c r="G6" i="147"/>
  <c r="H6" i="147" s="1"/>
  <c r="G7" i="298"/>
  <c r="H7" i="298" s="1"/>
  <c r="G7" i="271"/>
  <c r="H7" i="271" s="1"/>
  <c r="G7" i="299"/>
  <c r="H7" i="299" s="1"/>
  <c r="G8" i="299" s="1"/>
  <c r="H8" i="299" s="1"/>
  <c r="G7" i="147"/>
  <c r="H7" i="147" s="1"/>
  <c r="G7" i="297"/>
  <c r="H7" i="297" s="1"/>
  <c r="G8" i="263"/>
  <c r="H8" i="263" s="1"/>
  <c r="G8" i="262"/>
  <c r="H8" i="262" s="1"/>
  <c r="G7" i="226"/>
  <c r="H7" i="226" s="1"/>
  <c r="G7" i="263"/>
  <c r="H7" i="263" s="1"/>
  <c r="G7" i="261"/>
  <c r="H7" i="261" s="1"/>
  <c r="G8" i="261" s="1"/>
  <c r="H8" i="261" s="1"/>
  <c r="G6" i="226"/>
  <c r="H6" i="226" s="1"/>
  <c r="G7" i="259"/>
  <c r="H7" i="259" s="1"/>
  <c r="G8" i="259" s="1"/>
  <c r="H8" i="259" s="1"/>
  <c r="G9" i="266"/>
  <c r="H9" i="266" s="1"/>
  <c r="G11" i="266" s="1"/>
  <c r="H11" i="266" s="1"/>
  <c r="G7" i="262"/>
  <c r="H7" i="262" s="1"/>
  <c r="G14" i="302"/>
  <c r="H14" i="302" s="1"/>
  <c r="G7" i="270"/>
  <c r="H7" i="270" s="1"/>
  <c r="G14" i="303"/>
  <c r="H14" i="303" s="1"/>
  <c r="G14" i="305"/>
  <c r="H14" i="305" s="1"/>
  <c r="G14" i="304"/>
  <c r="H14" i="304" s="1"/>
  <c r="K14" i="304" s="1"/>
  <c r="G6" i="272"/>
  <c r="H6" i="272" s="1"/>
  <c r="G6" i="239"/>
  <c r="H6" i="239" s="1"/>
  <c r="G15" i="302"/>
  <c r="H15" i="302" s="1"/>
  <c r="K15" i="302" s="1"/>
  <c r="G8" i="270"/>
  <c r="H8" i="270" s="1"/>
  <c r="G7" i="272"/>
  <c r="H7" i="272" s="1"/>
  <c r="G15" i="305"/>
  <c r="H15" i="305" s="1"/>
  <c r="G15" i="303"/>
  <c r="H15" i="303" s="1"/>
  <c r="G15" i="304"/>
  <c r="H15" i="304" s="1"/>
  <c r="G7" i="239"/>
  <c r="H7" i="239" s="1"/>
  <c r="G6" i="238"/>
  <c r="H6" i="238" s="1"/>
  <c r="G6" i="230"/>
  <c r="H6" i="230" s="1"/>
  <c r="G7" i="238"/>
  <c r="H7" i="238" s="1"/>
  <c r="G7" i="230"/>
  <c r="H7" i="230" s="1"/>
  <c r="G7" i="189"/>
  <c r="H7" i="189" s="1"/>
  <c r="G10" i="232"/>
  <c r="H10" i="232" s="1"/>
  <c r="G10" i="193"/>
  <c r="H10" i="193" s="1"/>
  <c r="G7" i="236"/>
  <c r="H7" i="236" s="1"/>
  <c r="G11" i="192"/>
  <c r="H11" i="192" s="1"/>
  <c r="K11" i="192" s="1"/>
  <c r="G10" i="187"/>
  <c r="H10" i="187" s="1"/>
  <c r="G6" i="189"/>
  <c r="H6" i="189" s="1"/>
  <c r="G9" i="232"/>
  <c r="H9" i="232" s="1"/>
  <c r="G10" i="192"/>
  <c r="H10" i="192" s="1"/>
  <c r="G9" i="193"/>
  <c r="H9" i="193" s="1"/>
  <c r="G6" i="236"/>
  <c r="H6" i="236" s="1"/>
  <c r="G9" i="187"/>
  <c r="H9" i="187" s="1"/>
  <c r="G11" i="193"/>
  <c r="H11" i="193" s="1"/>
  <c r="G12" i="192"/>
  <c r="H12" i="192" s="1"/>
  <c r="G11" i="232"/>
  <c r="H11" i="232" s="1"/>
  <c r="G11" i="187"/>
  <c r="H11" i="187" s="1"/>
  <c r="G7" i="269"/>
  <c r="H7" i="269" s="1"/>
  <c r="G8" i="269" s="1"/>
  <c r="H8" i="269" s="1"/>
  <c r="G7" i="194"/>
  <c r="H7" i="194" s="1"/>
  <c r="G9" i="235"/>
  <c r="H9" i="235" s="1"/>
  <c r="G9" i="183"/>
  <c r="H9" i="183" s="1"/>
  <c r="G7" i="168"/>
  <c r="H7" i="168" s="1"/>
  <c r="G7" i="233"/>
  <c r="H7" i="233" s="1"/>
  <c r="G7" i="180"/>
  <c r="H7" i="180" s="1"/>
  <c r="G7" i="199"/>
  <c r="H7" i="199" s="1"/>
  <c r="G8" i="199" s="1"/>
  <c r="H8" i="199" s="1"/>
  <c r="G6" i="273"/>
  <c r="H6" i="273" s="1"/>
  <c r="G9" i="250"/>
  <c r="H9" i="250" s="1"/>
  <c r="G6" i="195"/>
  <c r="H6" i="195" s="1"/>
  <c r="G7" i="169"/>
  <c r="H7" i="169" s="1"/>
  <c r="G7" i="174"/>
  <c r="H7" i="174" s="1"/>
  <c r="G8" i="174" s="1"/>
  <c r="H8" i="174" s="1"/>
  <c r="G7" i="247"/>
  <c r="H7" i="247" s="1"/>
  <c r="G7" i="252"/>
  <c r="H7" i="252" s="1"/>
  <c r="G8" i="252" s="1"/>
  <c r="H8" i="252" s="1"/>
  <c r="G6" i="244"/>
  <c r="H6" i="244" s="1"/>
  <c r="G7" i="188"/>
  <c r="H7" i="188" s="1"/>
  <c r="G6" i="181"/>
  <c r="H6" i="181" s="1"/>
  <c r="G7" i="264"/>
  <c r="H7" i="264" s="1"/>
  <c r="G9" i="197"/>
  <c r="H9" i="197" s="1"/>
  <c r="G9" i="191"/>
  <c r="H9" i="191" s="1"/>
  <c r="G7" i="179"/>
  <c r="H7" i="179" s="1"/>
  <c r="G7" i="162"/>
  <c r="H7" i="162" s="1"/>
  <c r="G7" i="246"/>
  <c r="H7" i="246" s="1"/>
  <c r="G6" i="170"/>
  <c r="H6" i="170" s="1"/>
  <c r="G9" i="172"/>
  <c r="H9" i="172" s="1"/>
  <c r="G7" i="186"/>
  <c r="H7" i="186" s="1"/>
  <c r="G8" i="186" s="1"/>
  <c r="H8" i="186" s="1"/>
  <c r="G6" i="248"/>
  <c r="H6" i="248" s="1"/>
  <c r="G6" i="163"/>
  <c r="H6" i="163" s="1"/>
  <c r="G7" i="273"/>
  <c r="H7" i="273" s="1"/>
  <c r="G8" i="233"/>
  <c r="H8" i="233" s="1"/>
  <c r="G7" i="195"/>
  <c r="H7" i="195" s="1"/>
  <c r="G8" i="247"/>
  <c r="H8" i="247" s="1"/>
  <c r="G8" i="179"/>
  <c r="H8" i="179" s="1"/>
  <c r="G8" i="162"/>
  <c r="H8" i="162" s="1"/>
  <c r="G7" i="244"/>
  <c r="H7" i="244" s="1"/>
  <c r="G8" i="188"/>
  <c r="H8" i="188" s="1"/>
  <c r="G7" i="181"/>
  <c r="H7" i="181" s="1"/>
  <c r="G8" i="264"/>
  <c r="H8" i="264" s="1"/>
  <c r="G7" i="248"/>
  <c r="H7" i="248" s="1"/>
  <c r="G8" i="246"/>
  <c r="H8" i="246" s="1"/>
  <c r="G8" i="194"/>
  <c r="H8" i="194" s="1"/>
  <c r="G7" i="163"/>
  <c r="H7" i="163" s="1"/>
  <c r="G8" i="168"/>
  <c r="H8" i="168" s="1"/>
  <c r="G8" i="180"/>
  <c r="H8" i="180" s="1"/>
  <c r="G8" i="169"/>
  <c r="H8" i="169" s="1"/>
  <c r="G7" i="170"/>
  <c r="H7" i="170" s="1"/>
  <c r="G10" i="250"/>
  <c r="H10" i="250" s="1"/>
  <c r="G10" i="165"/>
  <c r="H10" i="165" s="1"/>
  <c r="G10" i="197"/>
  <c r="H10" i="197" s="1"/>
  <c r="G10" i="191"/>
  <c r="H10" i="191" s="1"/>
  <c r="G10" i="235"/>
  <c r="H10" i="235" s="1"/>
  <c r="G11" i="235" s="1"/>
  <c r="H11" i="235" s="1"/>
  <c r="G10" i="172"/>
  <c r="H10" i="172" s="1"/>
  <c r="K10" i="172" s="1"/>
  <c r="G10" i="183"/>
  <c r="H10" i="183" s="1"/>
  <c r="G6" i="296"/>
  <c r="H6" i="296" s="1"/>
  <c r="G7" i="255"/>
  <c r="H7" i="255" s="1"/>
  <c r="G11" i="308"/>
  <c r="H11" i="308" s="1"/>
  <c r="G7" i="167"/>
  <c r="H7" i="167" s="1"/>
  <c r="H7" i="166"/>
  <c r="G6" i="154"/>
  <c r="H6" i="154" s="1"/>
  <c r="G7" i="161"/>
  <c r="H7" i="161" s="1"/>
  <c r="G6" i="240"/>
  <c r="H6" i="240" s="1"/>
  <c r="G6" i="175"/>
  <c r="H6" i="175" s="1"/>
  <c r="G9" i="165"/>
  <c r="H9" i="165" s="1"/>
  <c r="G12" i="308"/>
  <c r="H12" i="308" s="1"/>
  <c r="G6" i="289"/>
  <c r="H6" i="289" s="1"/>
  <c r="G7" i="296"/>
  <c r="H7" i="296" s="1"/>
  <c r="G6" i="288"/>
  <c r="H6" i="288" s="1"/>
  <c r="G7" i="240"/>
  <c r="H7" i="240" s="1"/>
  <c r="G8" i="161"/>
  <c r="H8" i="161" s="1"/>
  <c r="G7" i="175"/>
  <c r="H7" i="175" s="1"/>
  <c r="G8" i="255"/>
  <c r="H8" i="255" s="1"/>
  <c r="G7" i="154"/>
  <c r="H7" i="154" s="1"/>
  <c r="F4" i="259"/>
  <c r="I128" i="14"/>
  <c r="F4" i="262"/>
  <c r="F4" i="263"/>
  <c r="F4" i="22"/>
  <c r="F4" i="149"/>
  <c r="F4" i="234"/>
  <c r="F4" i="193"/>
  <c r="F4" i="181"/>
  <c r="F4" i="288"/>
  <c r="F4" i="287"/>
  <c r="F4" i="277"/>
  <c r="F4" i="164"/>
  <c r="G44" i="155" l="1"/>
  <c r="H44" i="155" s="1"/>
  <c r="G45" i="155" s="1"/>
  <c r="H45" i="155" s="1"/>
  <c r="H40" i="155" s="1"/>
  <c r="G25" i="155"/>
  <c r="G9" i="311"/>
  <c r="H9" i="311" s="1"/>
  <c r="K9" i="311" s="1"/>
  <c r="K24" i="155"/>
  <c r="G16" i="228"/>
  <c r="H16" i="228" s="1"/>
  <c r="K44" i="155"/>
  <c r="G9" i="155"/>
  <c r="H9" i="155" s="1"/>
  <c r="G12" i="155" s="1"/>
  <c r="G17" i="155"/>
  <c r="G16" i="156"/>
  <c r="H16" i="156" s="1"/>
  <c r="K16" i="156" s="1"/>
  <c r="K14" i="156"/>
  <c r="J9" i="155"/>
  <c r="J7" i="155"/>
  <c r="K7" i="155" s="1"/>
  <c r="J6" i="155"/>
  <c r="K6" i="155" s="1"/>
  <c r="J11" i="155"/>
  <c r="K11" i="155" s="1"/>
  <c r="J10" i="155"/>
  <c r="K10" i="155" s="1"/>
  <c r="J8" i="155"/>
  <c r="K8" i="155" s="1"/>
  <c r="H31" i="155"/>
  <c r="F12" i="155"/>
  <c r="H25" i="155"/>
  <c r="G9" i="310"/>
  <c r="H9" i="310" s="1"/>
  <c r="K9" i="310" s="1"/>
  <c r="G13" i="309"/>
  <c r="H13" i="309" s="1"/>
  <c r="G14" i="309" s="1"/>
  <c r="G4" i="309" s="1"/>
  <c r="G8" i="147"/>
  <c r="H8" i="147" s="1"/>
  <c r="G15" i="147" s="1"/>
  <c r="G4" i="147" s="1"/>
  <c r="G13" i="306"/>
  <c r="H13" i="306" s="1"/>
  <c r="K13" i="306" s="1"/>
  <c r="K11" i="306"/>
  <c r="K11" i="307"/>
  <c r="G13" i="307"/>
  <c r="H13" i="307" s="1"/>
  <c r="K13" i="307" s="1"/>
  <c r="G9" i="263"/>
  <c r="H9" i="263" s="1"/>
  <c r="G9" i="262"/>
  <c r="H9" i="262" s="1"/>
  <c r="G13" i="262" s="1"/>
  <c r="G4" i="262" s="1"/>
  <c r="G8" i="273"/>
  <c r="H8" i="273" s="1"/>
  <c r="G8" i="271"/>
  <c r="H8" i="271" s="1"/>
  <c r="G8" i="297"/>
  <c r="H8" i="297" s="1"/>
  <c r="G11" i="297" s="1"/>
  <c r="G4" i="297" s="1"/>
  <c r="G9" i="168"/>
  <c r="H9" i="168" s="1"/>
  <c r="G13" i="168" s="1"/>
  <c r="G4" i="168" s="1"/>
  <c r="G8" i="226"/>
  <c r="H8" i="226" s="1"/>
  <c r="G9" i="226" s="1"/>
  <c r="G4" i="226" s="1"/>
  <c r="G8" i="238"/>
  <c r="H8" i="238" s="1"/>
  <c r="G11" i="238" s="1"/>
  <c r="G4" i="238" s="1"/>
  <c r="G8" i="181"/>
  <c r="H8" i="181" s="1"/>
  <c r="G8" i="236"/>
  <c r="H8" i="236" s="1"/>
  <c r="G9" i="236" s="1"/>
  <c r="G4" i="236" s="1"/>
  <c r="G9" i="280"/>
  <c r="G4" i="280" s="1"/>
  <c r="G8" i="272"/>
  <c r="H8" i="272" s="1"/>
  <c r="G9" i="272" s="1"/>
  <c r="G4" i="272" s="1"/>
  <c r="G6" i="292"/>
  <c r="G4" i="292" s="1"/>
  <c r="H163" i="14" s="1"/>
  <c r="I163" i="14" s="1"/>
  <c r="G8" i="239"/>
  <c r="H8" i="239" s="1"/>
  <c r="G11" i="239" s="1"/>
  <c r="G4" i="239" s="1"/>
  <c r="G9" i="278"/>
  <c r="G4" i="278" s="1"/>
  <c r="G16" i="304"/>
  <c r="H16" i="304" s="1"/>
  <c r="G21" i="304" s="1"/>
  <c r="G4" i="304" s="1"/>
  <c r="G16" i="305"/>
  <c r="H16" i="305" s="1"/>
  <c r="G21" i="305" s="1"/>
  <c r="G4" i="305" s="1"/>
  <c r="G9" i="279"/>
  <c r="G4" i="279" s="1"/>
  <c r="G9" i="270"/>
  <c r="H9" i="270" s="1"/>
  <c r="G9" i="277"/>
  <c r="G4" i="277" s="1"/>
  <c r="G16" i="303"/>
  <c r="H16" i="303" s="1"/>
  <c r="G21" i="303" s="1"/>
  <c r="G4" i="303" s="1"/>
  <c r="G16" i="302"/>
  <c r="H16" i="302" s="1"/>
  <c r="K16" i="302" s="1"/>
  <c r="K14" i="302"/>
  <c r="G9" i="233"/>
  <c r="H9" i="233" s="1"/>
  <c r="G10" i="233" s="1"/>
  <c r="G4" i="233" s="1"/>
  <c r="G9" i="264"/>
  <c r="H9" i="264" s="1"/>
  <c r="G10" i="264" s="1"/>
  <c r="G4" i="264" s="1"/>
  <c r="G9" i="169"/>
  <c r="H9" i="169" s="1"/>
  <c r="G10" i="169" s="1"/>
  <c r="G4" i="169" s="1"/>
  <c r="G8" i="189"/>
  <c r="H8" i="189" s="1"/>
  <c r="G9" i="189" s="1"/>
  <c r="G4" i="189" s="1"/>
  <c r="G8" i="230"/>
  <c r="H8" i="230" s="1"/>
  <c r="G9" i="282"/>
  <c r="G4" i="282" s="1"/>
  <c r="G12" i="232"/>
  <c r="H12" i="232" s="1"/>
  <c r="G16" i="232" s="1"/>
  <c r="G4" i="232" s="1"/>
  <c r="G6" i="225"/>
  <c r="G4" i="225" s="1"/>
  <c r="G12" i="187"/>
  <c r="H12" i="187" s="1"/>
  <c r="G16" i="187" s="1"/>
  <c r="G4" i="187" s="1"/>
  <c r="G8" i="251"/>
  <c r="G4" i="251" s="1"/>
  <c r="G9" i="246"/>
  <c r="H9" i="246" s="1"/>
  <c r="G13" i="246" s="1"/>
  <c r="G4" i="246" s="1"/>
  <c r="G12" i="193"/>
  <c r="H12" i="193" s="1"/>
  <c r="G16" i="193" s="1"/>
  <c r="G4" i="193" s="1"/>
  <c r="G8" i="184"/>
  <c r="G4" i="184" s="1"/>
  <c r="G9" i="247"/>
  <c r="H9" i="247" s="1"/>
  <c r="G10" i="247" s="1"/>
  <c r="G4" i="247" s="1"/>
  <c r="K10" i="192"/>
  <c r="G13" i="192"/>
  <c r="H13" i="192" s="1"/>
  <c r="G17" i="192" s="1"/>
  <c r="G4" i="192" s="1"/>
  <c r="F16" i="193"/>
  <c r="J10" i="193"/>
  <c r="J11" i="193"/>
  <c r="K8" i="193"/>
  <c r="K10" i="193"/>
  <c r="K11" i="193"/>
  <c r="K9" i="193"/>
  <c r="J9" i="193"/>
  <c r="J8" i="193"/>
  <c r="G11" i="172"/>
  <c r="H11" i="172" s="1"/>
  <c r="K11" i="172" s="1"/>
  <c r="K9" i="172"/>
  <c r="G11" i="197"/>
  <c r="H11" i="197" s="1"/>
  <c r="G12" i="197" s="1"/>
  <c r="G4" i="197" s="1"/>
  <c r="G8" i="170"/>
  <c r="H8" i="170" s="1"/>
  <c r="G13" i="170" s="1"/>
  <c r="G4" i="170" s="1"/>
  <c r="G9" i="188"/>
  <c r="H9" i="188" s="1"/>
  <c r="G10" i="188" s="1"/>
  <c r="G4" i="188" s="1"/>
  <c r="G8" i="195"/>
  <c r="H8" i="195" s="1"/>
  <c r="G8" i="244"/>
  <c r="H8" i="244" s="1"/>
  <c r="G9" i="244" s="1"/>
  <c r="G4" i="244" s="1"/>
  <c r="G11" i="250"/>
  <c r="H11" i="250" s="1"/>
  <c r="G12" i="250" s="1"/>
  <c r="G4" i="250" s="1"/>
  <c r="G9" i="194"/>
  <c r="H9" i="194" s="1"/>
  <c r="G10" i="194" s="1"/>
  <c r="G4" i="194" s="1"/>
  <c r="G9" i="162"/>
  <c r="H9" i="162" s="1"/>
  <c r="G10" i="162" s="1"/>
  <c r="G4" i="162" s="1"/>
  <c r="G8" i="227"/>
  <c r="G4" i="227" s="1"/>
  <c r="G8" i="163"/>
  <c r="H8" i="163" s="1"/>
  <c r="G9" i="179"/>
  <c r="H9" i="179" s="1"/>
  <c r="G13" i="179" s="1"/>
  <c r="G4" i="179" s="1"/>
  <c r="G8" i="268"/>
  <c r="G4" i="268" s="1"/>
  <c r="G11" i="183"/>
  <c r="H11" i="183" s="1"/>
  <c r="G12" i="183" s="1"/>
  <c r="G4" i="183" s="1"/>
  <c r="G8" i="173"/>
  <c r="G4" i="173" s="1"/>
  <c r="G8" i="248"/>
  <c r="H8" i="248" s="1"/>
  <c r="G13" i="248" s="1"/>
  <c r="G4" i="248" s="1"/>
  <c r="G11" i="191"/>
  <c r="H11" i="191" s="1"/>
  <c r="G12" i="191" s="1"/>
  <c r="G4" i="191" s="1"/>
  <c r="G9" i="180"/>
  <c r="H9" i="180" s="1"/>
  <c r="G10" i="180" s="1"/>
  <c r="G4" i="180" s="1"/>
  <c r="F12" i="181"/>
  <c r="H12" i="181" s="1"/>
  <c r="F11" i="181"/>
  <c r="H11" i="181" s="1"/>
  <c r="J8" i="164"/>
  <c r="J5" i="164"/>
  <c r="K6" i="164"/>
  <c r="J6" i="164"/>
  <c r="J7" i="164"/>
  <c r="K5" i="164"/>
  <c r="K8" i="164"/>
  <c r="K7" i="164"/>
  <c r="G11" i="165"/>
  <c r="H11" i="165" s="1"/>
  <c r="G12" i="165" s="1"/>
  <c r="G4" i="165" s="1"/>
  <c r="G12" i="266"/>
  <c r="G4" i="266" s="1"/>
  <c r="G9" i="171"/>
  <c r="G4" i="171" s="1"/>
  <c r="G6" i="158"/>
  <c r="G4" i="158" s="1"/>
  <c r="G6" i="160"/>
  <c r="G4" i="160" s="1"/>
  <c r="H35" i="14" s="1"/>
  <c r="G9" i="269"/>
  <c r="G4" i="269" s="1"/>
  <c r="G8" i="154"/>
  <c r="H8" i="154" s="1"/>
  <c r="G9" i="154" s="1"/>
  <c r="J7" i="22"/>
  <c r="K7" i="22"/>
  <c r="G7" i="288"/>
  <c r="H7" i="288" s="1"/>
  <c r="G8" i="288" s="1"/>
  <c r="G4" i="288" s="1"/>
  <c r="G13" i="263"/>
  <c r="G4" i="263" s="1"/>
  <c r="F4" i="286"/>
  <c r="F4" i="261"/>
  <c r="F4" i="279"/>
  <c r="G9" i="299"/>
  <c r="G4" i="299" s="1"/>
  <c r="G9" i="276"/>
  <c r="G4" i="276" s="1"/>
  <c r="G8" i="175"/>
  <c r="H8" i="175" s="1"/>
  <c r="G9" i="175" s="1"/>
  <c r="G4" i="175" s="1"/>
  <c r="F4" i="163"/>
  <c r="G6" i="159"/>
  <c r="G4" i="159" s="1"/>
  <c r="H34" i="14" s="1"/>
  <c r="G9" i="261"/>
  <c r="G4" i="261" s="1"/>
  <c r="G12" i="151"/>
  <c r="G4" i="151" s="1"/>
  <c r="G12" i="152"/>
  <c r="G4" i="152" s="1"/>
  <c r="G21" i="228"/>
  <c r="G4" i="228" s="1"/>
  <c r="G9" i="283"/>
  <c r="G4" i="283" s="1"/>
  <c r="G9" i="252"/>
  <c r="G4" i="252" s="1"/>
  <c r="G9" i="259"/>
  <c r="G4" i="259" s="1"/>
  <c r="G9" i="253"/>
  <c r="G4" i="253" s="1"/>
  <c r="G9" i="186"/>
  <c r="G4" i="186" s="1"/>
  <c r="G7" i="237"/>
  <c r="G4" i="237" s="1"/>
  <c r="G7" i="229"/>
  <c r="G4" i="229" s="1"/>
  <c r="G9" i="178"/>
  <c r="G4" i="178" s="1"/>
  <c r="G9" i="256"/>
  <c r="G4" i="256" s="1"/>
  <c r="G7" i="289"/>
  <c r="H7" i="289" s="1"/>
  <c r="G8" i="289" s="1"/>
  <c r="G4" i="289" s="1"/>
  <c r="G9" i="281"/>
  <c r="G4" i="281" s="1"/>
  <c r="G9" i="258"/>
  <c r="G4" i="258" s="1"/>
  <c r="G10" i="286"/>
  <c r="G4" i="286" s="1"/>
  <c r="G9" i="287"/>
  <c r="G4" i="287" s="1"/>
  <c r="G9" i="146"/>
  <c r="G4" i="146" s="1"/>
  <c r="G9" i="254"/>
  <c r="G4" i="254" s="1"/>
  <c r="G6" i="295"/>
  <c r="G4" i="295" s="1"/>
  <c r="H166" i="14" s="1"/>
  <c r="I166" i="14" s="1"/>
  <c r="G9" i="260"/>
  <c r="G4" i="260" s="1"/>
  <c r="G6" i="301"/>
  <c r="G4" i="301" s="1"/>
  <c r="H176" i="14" s="1"/>
  <c r="I176" i="14" s="1"/>
  <c r="G9" i="290"/>
  <c r="G4" i="290" s="1"/>
  <c r="G6" i="294"/>
  <c r="G4" i="294" s="1"/>
  <c r="H165" i="14" s="1"/>
  <c r="F4" i="270"/>
  <c r="G9" i="182"/>
  <c r="G4" i="182" s="1"/>
  <c r="G8" i="167"/>
  <c r="H8" i="167" s="1"/>
  <c r="G9" i="167" s="1"/>
  <c r="G4" i="167" s="1"/>
  <c r="G9" i="190"/>
  <c r="G4" i="190" s="1"/>
  <c r="G9" i="196"/>
  <c r="G4" i="196" s="1"/>
  <c r="G9" i="164"/>
  <c r="G4" i="164" s="1"/>
  <c r="G8" i="298"/>
  <c r="H8" i="298" s="1"/>
  <c r="G9" i="298" s="1"/>
  <c r="G4" i="298" s="1"/>
  <c r="G20" i="306"/>
  <c r="G4" i="306" s="1"/>
  <c r="G9" i="255"/>
  <c r="H9" i="255" s="1"/>
  <c r="G10" i="255" s="1"/>
  <c r="G4" i="255" s="1"/>
  <c r="G9" i="176"/>
  <c r="G4" i="176" s="1"/>
  <c r="G9" i="257"/>
  <c r="G4" i="257" s="1"/>
  <c r="G8" i="240"/>
  <c r="G4" i="240" s="1"/>
  <c r="G6" i="293"/>
  <c r="G4" i="293" s="1"/>
  <c r="H164" i="14" s="1"/>
  <c r="F4" i="289"/>
  <c r="F4" i="273"/>
  <c r="F4" i="282"/>
  <c r="G9" i="234"/>
  <c r="G4" i="234" s="1"/>
  <c r="G9" i="275"/>
  <c r="G4" i="275" s="1"/>
  <c r="G9" i="231"/>
  <c r="G4" i="231" s="1"/>
  <c r="G9" i="185"/>
  <c r="G4" i="185" s="1"/>
  <c r="G12" i="235"/>
  <c r="G4" i="235" s="1"/>
  <c r="G6" i="291"/>
  <c r="G4" i="291" s="1"/>
  <c r="H162" i="14" s="1"/>
  <c r="G16" i="310"/>
  <c r="G4" i="310" s="1"/>
  <c r="G7" i="245"/>
  <c r="G4" i="245" s="1"/>
  <c r="G13" i="308"/>
  <c r="H13" i="308" s="1"/>
  <c r="G14" i="308" s="1"/>
  <c r="G4" i="308" s="1"/>
  <c r="G7" i="242"/>
  <c r="G4" i="242" s="1"/>
  <c r="G8" i="296"/>
  <c r="H8" i="296" s="1"/>
  <c r="G9" i="296" s="1"/>
  <c r="G4" i="296" s="1"/>
  <c r="F4" i="285"/>
  <c r="F4" i="271"/>
  <c r="F4" i="267"/>
  <c r="F4" i="280"/>
  <c r="G13" i="270"/>
  <c r="G4" i="270" s="1"/>
  <c r="G9" i="174"/>
  <c r="G4" i="174" s="1"/>
  <c r="F4" i="194"/>
  <c r="F4" i="228"/>
  <c r="F4" i="243"/>
  <c r="F4" i="264"/>
  <c r="F4" i="258"/>
  <c r="G11" i="271"/>
  <c r="G4" i="271" s="1"/>
  <c r="G21" i="156"/>
  <c r="G4" i="156" s="1"/>
  <c r="G9" i="199"/>
  <c r="G4" i="199" s="1"/>
  <c r="G9" i="274"/>
  <c r="G4" i="274" s="1"/>
  <c r="G9" i="150"/>
  <c r="G4" i="150" s="1"/>
  <c r="G9" i="161"/>
  <c r="H9" i="161" s="1"/>
  <c r="G13" i="161" s="1"/>
  <c r="G4" i="161" s="1"/>
  <c r="G9" i="241"/>
  <c r="G4" i="241" s="1"/>
  <c r="G6" i="149"/>
  <c r="G4" i="149" s="1"/>
  <c r="G9" i="265"/>
  <c r="G4" i="265" s="1"/>
  <c r="G6" i="300"/>
  <c r="G4" i="300" s="1"/>
  <c r="G9" i="284"/>
  <c r="G4" i="284" s="1"/>
  <c r="G9" i="249"/>
  <c r="G4" i="249" s="1"/>
  <c r="F4" i="255"/>
  <c r="F4" i="293"/>
  <c r="F4" i="250"/>
  <c r="H171" i="14" l="1"/>
  <c r="I171" i="14" s="1"/>
  <c r="H19" i="14"/>
  <c r="I17" i="313"/>
  <c r="H129" i="14"/>
  <c r="I48" i="313"/>
  <c r="H190" i="14"/>
  <c r="I190" i="14" s="1"/>
  <c r="H132" i="14"/>
  <c r="I132" i="14" s="1"/>
  <c r="H139" i="14"/>
  <c r="I139" i="14" s="1"/>
  <c r="H138" i="14"/>
  <c r="H117" i="14"/>
  <c r="H18" i="14"/>
  <c r="I16" i="313"/>
  <c r="H83" i="14"/>
  <c r="H43" i="14"/>
  <c r="I43" i="14" s="1"/>
  <c r="H21" i="14"/>
  <c r="H184" i="14"/>
  <c r="I184" i="14" s="1"/>
  <c r="H84" i="14"/>
  <c r="H173" i="14"/>
  <c r="I173" i="14" s="1"/>
  <c r="H68" i="14"/>
  <c r="I68" i="14" s="1"/>
  <c r="H105" i="14"/>
  <c r="I105" i="14" s="1"/>
  <c r="H151" i="14"/>
  <c r="H156" i="14"/>
  <c r="H24" i="14"/>
  <c r="H49" i="14"/>
  <c r="I49" i="14" s="1"/>
  <c r="H140" i="14"/>
  <c r="I140" i="14" s="1"/>
  <c r="H39" i="14"/>
  <c r="I24" i="313"/>
  <c r="H91" i="14"/>
  <c r="I91" i="14" s="1"/>
  <c r="H42" i="14"/>
  <c r="H160" i="14"/>
  <c r="I160" i="14" s="1"/>
  <c r="H121" i="14"/>
  <c r="I42" i="313"/>
  <c r="H65" i="14"/>
  <c r="I65" i="14" s="1"/>
  <c r="H125" i="14"/>
  <c r="I45" i="313"/>
  <c r="H60" i="14"/>
  <c r="I60" i="14" s="1"/>
  <c r="H81" i="14"/>
  <c r="H78" i="14"/>
  <c r="I78" i="14" s="1"/>
  <c r="H69" i="14"/>
  <c r="H149" i="14"/>
  <c r="I149" i="14" s="1"/>
  <c r="H23" i="14"/>
  <c r="H33" i="14"/>
  <c r="H40" i="14"/>
  <c r="H48" i="14"/>
  <c r="I48" i="14" s="1"/>
  <c r="H92" i="14"/>
  <c r="I92" i="14" s="1"/>
  <c r="H143" i="14"/>
  <c r="H124" i="14"/>
  <c r="I124" i="14" s="1"/>
  <c r="I44" i="313"/>
  <c r="H122" i="14"/>
  <c r="I122" i="14" s="1"/>
  <c r="I43" i="313"/>
  <c r="H50" i="14"/>
  <c r="H106" i="14"/>
  <c r="I106" i="14" s="1"/>
  <c r="H109" i="14"/>
  <c r="H131" i="14"/>
  <c r="I131" i="14" s="1"/>
  <c r="H183" i="14"/>
  <c r="I183" i="14" s="1"/>
  <c r="H153" i="14"/>
  <c r="H79" i="14"/>
  <c r="I79" i="14" s="1"/>
  <c r="H144" i="14"/>
  <c r="I144" i="14" s="1"/>
  <c r="H120" i="14"/>
  <c r="I120" i="14" s="1"/>
  <c r="I41" i="313"/>
  <c r="H45" i="14"/>
  <c r="I45" i="14" s="1"/>
  <c r="H159" i="14"/>
  <c r="I159" i="14" s="1"/>
  <c r="H110" i="14"/>
  <c r="H158" i="14"/>
  <c r="I158" i="14" s="1"/>
  <c r="G16" i="311"/>
  <c r="G4" i="311" s="1"/>
  <c r="H52" i="14"/>
  <c r="H108" i="14"/>
  <c r="I108" i="14" s="1"/>
  <c r="H67" i="14"/>
  <c r="H89" i="14"/>
  <c r="I89" i="14" s="1"/>
  <c r="H182" i="14"/>
  <c r="I182" i="14" s="1"/>
  <c r="H90" i="14"/>
  <c r="I90" i="14" s="1"/>
  <c r="H62" i="14"/>
  <c r="I62" i="14" s="1"/>
  <c r="H57" i="14"/>
  <c r="I57" i="14" s="1"/>
  <c r="H145" i="14"/>
  <c r="I145" i="14" s="1"/>
  <c r="H135" i="14"/>
  <c r="I135" i="14" s="1"/>
  <c r="H88" i="14"/>
  <c r="H47" i="14"/>
  <c r="I47" i="14" s="1"/>
  <c r="H191" i="14"/>
  <c r="I191" i="14" s="1"/>
  <c r="H157" i="14"/>
  <c r="I157" i="14" s="1"/>
  <c r="H25" i="14"/>
  <c r="I25" i="14" s="1"/>
  <c r="H59" i="14"/>
  <c r="H181" i="14"/>
  <c r="I181" i="14" s="1"/>
  <c r="H172" i="14"/>
  <c r="I172" i="14" s="1"/>
  <c r="H93" i="14"/>
  <c r="I93" i="14" s="1"/>
  <c r="H136" i="14"/>
  <c r="H64" i="14"/>
  <c r="I64" i="14" s="1"/>
  <c r="H146" i="14"/>
  <c r="I146" i="14" s="1"/>
  <c r="H74" i="14"/>
  <c r="I74" i="14" s="1"/>
  <c r="H56" i="14"/>
  <c r="H77" i="14"/>
  <c r="I77" i="14" s="1"/>
  <c r="H111" i="14"/>
  <c r="I111" i="14" s="1"/>
  <c r="H71" i="14"/>
  <c r="I71" i="14" s="1"/>
  <c r="H104" i="14"/>
  <c r="I104" i="14" s="1"/>
  <c r="H148" i="14"/>
  <c r="I148" i="14" s="1"/>
  <c r="H107" i="14"/>
  <c r="H167" i="14"/>
  <c r="I167" i="14" s="1"/>
  <c r="H86" i="14"/>
  <c r="I86" i="14" s="1"/>
  <c r="H70" i="14"/>
  <c r="I70" i="14" s="1"/>
  <c r="H130" i="14"/>
  <c r="I49" i="313"/>
  <c r="H75" i="14"/>
  <c r="H175" i="14"/>
  <c r="I175" i="14" s="1"/>
  <c r="H30" i="14"/>
  <c r="H53" i="14"/>
  <c r="I53" i="14" s="1"/>
  <c r="H189" i="14"/>
  <c r="I189" i="14" s="1"/>
  <c r="H55" i="14"/>
  <c r="I55" i="14" s="1"/>
  <c r="H115" i="14"/>
  <c r="H119" i="14"/>
  <c r="I119" i="14" s="1"/>
  <c r="I40" i="313"/>
  <c r="H152" i="14"/>
  <c r="I152" i="14" s="1"/>
  <c r="H54" i="14"/>
  <c r="I54" i="14" s="1"/>
  <c r="H133" i="14"/>
  <c r="I133" i="14" s="1"/>
  <c r="I53" i="313"/>
  <c r="H63" i="14"/>
  <c r="H72" i="14"/>
  <c r="I72" i="14" s="1"/>
  <c r="H32" i="14"/>
  <c r="H147" i="14"/>
  <c r="I147" i="14" s="1"/>
  <c r="H80" i="14"/>
  <c r="I80" i="14" s="1"/>
  <c r="H99" i="14"/>
  <c r="G32" i="155"/>
  <c r="H97" i="14"/>
  <c r="I97" i="14" s="1"/>
  <c r="G21" i="155"/>
  <c r="K9" i="155"/>
  <c r="P4" i="155" s="1"/>
  <c r="H101" i="14"/>
  <c r="I101" i="14" s="1"/>
  <c r="G40" i="155"/>
  <c r="H102" i="14"/>
  <c r="I102" i="14" s="1"/>
  <c r="G46" i="155"/>
  <c r="H96" i="14"/>
  <c r="I96" i="14" s="1"/>
  <c r="G13" i="155"/>
  <c r="H17" i="155"/>
  <c r="G20" i="155" s="1"/>
  <c r="H20" i="155" s="1"/>
  <c r="H13" i="155" s="1"/>
  <c r="K17" i="155"/>
  <c r="H98" i="14"/>
  <c r="G26" i="155"/>
  <c r="H95" i="14"/>
  <c r="I95" i="14" s="1"/>
  <c r="G5" i="155"/>
  <c r="M4" i="155"/>
  <c r="J7" i="270"/>
  <c r="J8" i="270"/>
  <c r="F10" i="285"/>
  <c r="H10" i="285" s="1"/>
  <c r="G11" i="285" s="1"/>
  <c r="H11" i="285" s="1"/>
  <c r="F9" i="285"/>
  <c r="K8" i="270"/>
  <c r="J12" i="228"/>
  <c r="K19" i="228"/>
  <c r="J10" i="228"/>
  <c r="J14" i="228"/>
  <c r="J15" i="228"/>
  <c r="K15" i="228"/>
  <c r="J16" i="228"/>
  <c r="J7" i="228"/>
  <c r="J18" i="228"/>
  <c r="J9" i="228"/>
  <c r="K18" i="228"/>
  <c r="K9" i="228"/>
  <c r="J19" i="228"/>
  <c r="K14" i="228"/>
  <c r="K12" i="228"/>
  <c r="K8" i="228"/>
  <c r="J8" i="228"/>
  <c r="J6" i="228"/>
  <c r="K11" i="228"/>
  <c r="J11" i="228"/>
  <c r="J13" i="228"/>
  <c r="K6" i="228"/>
  <c r="K10" i="228"/>
  <c r="K16" i="228"/>
  <c r="K13" i="228"/>
  <c r="K7" i="228"/>
  <c r="J17" i="228"/>
  <c r="K17" i="228"/>
  <c r="K7" i="270"/>
  <c r="N4" i="155"/>
  <c r="H12" i="155"/>
  <c r="H21" i="155"/>
  <c r="H26" i="155"/>
  <c r="G20" i="307"/>
  <c r="G4" i="307" s="1"/>
  <c r="G12" i="172"/>
  <c r="G4" i="172" s="1"/>
  <c r="F10" i="267"/>
  <c r="H10" i="267" s="1"/>
  <c r="F9" i="267"/>
  <c r="H9" i="267" s="1"/>
  <c r="J6" i="286"/>
  <c r="K6" i="286"/>
  <c r="G21" i="302"/>
  <c r="G4" i="302" s="1"/>
  <c r="G8" i="166"/>
  <c r="G4" i="166" s="1"/>
  <c r="G13" i="181"/>
  <c r="G4" i="181" s="1"/>
  <c r="H150" i="14"/>
  <c r="I150" i="14" s="1"/>
  <c r="H16" i="193"/>
  <c r="F12" i="273"/>
  <c r="H12" i="273" s="1"/>
  <c r="F11" i="273"/>
  <c r="H11" i="273" s="1"/>
  <c r="F12" i="163"/>
  <c r="H12" i="163" s="1"/>
  <c r="J6" i="163"/>
  <c r="F11" i="163"/>
  <c r="H11" i="163" s="1"/>
  <c r="J7" i="163"/>
  <c r="J8" i="163"/>
  <c r="K7" i="163"/>
  <c r="K6" i="163"/>
  <c r="K8" i="163"/>
  <c r="G4" i="154"/>
  <c r="F4" i="276"/>
  <c r="F4" i="266"/>
  <c r="I136" i="14"/>
  <c r="F4" i="269"/>
  <c r="I109" i="14"/>
  <c r="F4" i="251"/>
  <c r="F4" i="191"/>
  <c r="I88" i="14"/>
  <c r="F4" i="232"/>
  <c r="I121" i="14"/>
  <c r="I75" i="14"/>
  <c r="I125" i="14"/>
  <c r="I151" i="14"/>
  <c r="I156" i="14"/>
  <c r="I143" i="14"/>
  <c r="I164" i="14"/>
  <c r="I83" i="14"/>
  <c r="I153" i="14"/>
  <c r="I130" i="14"/>
  <c r="I169" i="14" l="1"/>
  <c r="I34" i="313"/>
  <c r="H51" i="14"/>
  <c r="I51" i="14" s="1"/>
  <c r="H44" i="14"/>
  <c r="I44" i="14" s="1"/>
  <c r="H192" i="14"/>
  <c r="I192" i="14" s="1"/>
  <c r="I187" i="14" s="1"/>
  <c r="H180" i="14"/>
  <c r="I180" i="14" s="1"/>
  <c r="H27" i="14"/>
  <c r="H61" i="14"/>
  <c r="I61" i="14" s="1"/>
  <c r="H185" i="14"/>
  <c r="I185" i="14" s="1"/>
  <c r="I178" i="14" s="1"/>
  <c r="K50" i="155"/>
  <c r="G50" i="155"/>
  <c r="H50" i="155" s="1"/>
  <c r="H5" i="155"/>
  <c r="G12" i="267"/>
  <c r="G4" i="267" s="1"/>
  <c r="J9" i="285"/>
  <c r="H9" i="285"/>
  <c r="K9" i="285" s="1"/>
  <c r="G13" i="273"/>
  <c r="G4" i="273" s="1"/>
  <c r="J7" i="232"/>
  <c r="J8" i="232"/>
  <c r="K9" i="232"/>
  <c r="J9" i="232"/>
  <c r="K7" i="232"/>
  <c r="K8" i="232"/>
  <c r="G13" i="163"/>
  <c r="G4" i="163" s="1"/>
  <c r="I162" i="14"/>
  <c r="F4" i="291"/>
  <c r="I165" i="14"/>
  <c r="F4" i="294"/>
  <c r="I107" i="14"/>
  <c r="F4" i="249"/>
  <c r="F4" i="195"/>
  <c r="F4" i="230"/>
  <c r="I84" i="14"/>
  <c r="F4" i="229"/>
  <c r="F4" i="254"/>
  <c r="I50" i="14"/>
  <c r="I194" i="14"/>
  <c r="I36" i="14"/>
  <c r="H141" i="14" l="1"/>
  <c r="I141" i="14" s="1"/>
  <c r="H134" i="14"/>
  <c r="I134" i="14" s="1"/>
  <c r="I54" i="313"/>
  <c r="I47" i="313" s="1"/>
  <c r="H41" i="14"/>
  <c r="I41" i="14" s="1"/>
  <c r="I23" i="313"/>
  <c r="G4" i="155"/>
  <c r="G12" i="285"/>
  <c r="G4" i="285" s="1"/>
  <c r="J7" i="230"/>
  <c r="K7" i="230"/>
  <c r="F11" i="230"/>
  <c r="G11" i="230"/>
  <c r="H11" i="230" s="1"/>
  <c r="F12" i="195"/>
  <c r="H12" i="195" s="1"/>
  <c r="F11" i="195"/>
  <c r="H11" i="195" s="1"/>
  <c r="I110" i="14"/>
  <c r="F4" i="252"/>
  <c r="I98" i="14"/>
  <c r="F4" i="241"/>
  <c r="I81" i="14"/>
  <c r="F4" i="227"/>
  <c r="I52" i="14"/>
  <c r="F4" i="173"/>
  <c r="I69" i="14"/>
  <c r="F4" i="189"/>
  <c r="I56" i="14"/>
  <c r="F4" i="185"/>
  <c r="F4" i="150"/>
  <c r="H155" i="14" l="1"/>
  <c r="I155" i="14" s="1"/>
  <c r="H29" i="14"/>
  <c r="G13" i="195"/>
  <c r="G4" i="195" s="1"/>
  <c r="G4" i="230"/>
  <c r="J5" i="173"/>
  <c r="J7" i="173"/>
  <c r="J6" i="173"/>
  <c r="K5" i="173"/>
  <c r="K6" i="173"/>
  <c r="K7" i="173"/>
  <c r="I99" i="14"/>
  <c r="F4" i="242"/>
  <c r="F6" i="243" s="1"/>
  <c r="H6" i="243" s="1"/>
  <c r="G7" i="243" s="1"/>
  <c r="G4" i="243" s="1"/>
  <c r="I63" i="14"/>
  <c r="F4" i="183"/>
  <c r="I59" i="14"/>
  <c r="F4" i="179"/>
  <c r="I67" i="14"/>
  <c r="F4" i="187"/>
  <c r="F4" i="148"/>
  <c r="F6" i="225"/>
  <c r="H6" i="225" s="1"/>
  <c r="H4" i="225" s="1"/>
  <c r="J5" i="225"/>
  <c r="K5" i="225"/>
  <c r="O4" i="225" s="1"/>
  <c r="J7" i="185"/>
  <c r="K8" i="185"/>
  <c r="O4" i="185" s="1"/>
  <c r="J5" i="185"/>
  <c r="K6" i="185"/>
  <c r="K8" i="147"/>
  <c r="O4" i="147" s="1"/>
  <c r="F4" i="162"/>
  <c r="F4" i="161"/>
  <c r="F9" i="22"/>
  <c r="F4" i="146"/>
  <c r="F12" i="148" l="1"/>
  <c r="H12" i="148" s="1"/>
  <c r="O32" i="14"/>
  <c r="H85" i="14"/>
  <c r="I85" i="14" s="1"/>
  <c r="O19" i="14"/>
  <c r="H76" i="14"/>
  <c r="I76" i="14" s="1"/>
  <c r="O56" i="14"/>
  <c r="J11" i="161"/>
  <c r="K11" i="161"/>
  <c r="H100" i="14"/>
  <c r="I100" i="14" s="1"/>
  <c r="G36" i="155"/>
  <c r="F9" i="148"/>
  <c r="H9" i="148" s="1"/>
  <c r="F10" i="148"/>
  <c r="H10" i="148" s="1"/>
  <c r="K10" i="148" s="1"/>
  <c r="J8" i="187"/>
  <c r="J7" i="187"/>
  <c r="K8" i="187"/>
  <c r="K7" i="187"/>
  <c r="J11" i="187"/>
  <c r="K11" i="187"/>
  <c r="J10" i="161"/>
  <c r="K10" i="161"/>
  <c r="F4" i="153"/>
  <c r="J6" i="153" s="1"/>
  <c r="I27" i="14"/>
  <c r="F4" i="154"/>
  <c r="J8" i="154" s="1"/>
  <c r="N4" i="225"/>
  <c r="F9" i="280"/>
  <c r="H9" i="280" s="1"/>
  <c r="H4" i="280" s="1"/>
  <c r="K7" i="280"/>
  <c r="J8" i="280"/>
  <c r="J6" i="280"/>
  <c r="K5" i="280"/>
  <c r="J7" i="280"/>
  <c r="J5" i="280"/>
  <c r="K6" i="280"/>
  <c r="K8" i="280"/>
  <c r="O4" i="280" s="1"/>
  <c r="F20" i="307"/>
  <c r="H20" i="307" s="1"/>
  <c r="H4" i="307" s="1"/>
  <c r="J19" i="307"/>
  <c r="J6" i="307"/>
  <c r="J18" i="307"/>
  <c r="K18" i="307"/>
  <c r="J7" i="307"/>
  <c r="K7" i="307"/>
  <c r="K8" i="307"/>
  <c r="K6" i="307"/>
  <c r="J8" i="307"/>
  <c r="J17" i="307"/>
  <c r="J5" i="307"/>
  <c r="K17" i="307"/>
  <c r="K5" i="307"/>
  <c r="K19" i="307"/>
  <c r="J8" i="297"/>
  <c r="K10" i="297"/>
  <c r="F11" i="297"/>
  <c r="H11" i="297" s="1"/>
  <c r="H4" i="297" s="1"/>
  <c r="J6" i="297"/>
  <c r="K8" i="297"/>
  <c r="O4" i="297" s="1"/>
  <c r="J9" i="297"/>
  <c r="J5" i="297"/>
  <c r="J10" i="297"/>
  <c r="K6" i="297"/>
  <c r="J7" i="297"/>
  <c r="K9" i="297"/>
  <c r="K5" i="297"/>
  <c r="K7" i="297"/>
  <c r="J18" i="304"/>
  <c r="J16" i="304"/>
  <c r="J8" i="304"/>
  <c r="J7" i="304"/>
  <c r="F21" i="304"/>
  <c r="H21" i="304" s="1"/>
  <c r="H4" i="304" s="1"/>
  <c r="J5" i="304"/>
  <c r="J6" i="304"/>
  <c r="J15" i="304"/>
  <c r="J20" i="304"/>
  <c r="K19" i="304"/>
  <c r="K5" i="304"/>
  <c r="K6" i="304"/>
  <c r="K16" i="304"/>
  <c r="K15" i="304"/>
  <c r="K7" i="304"/>
  <c r="J19" i="304"/>
  <c r="K8" i="304"/>
  <c r="O4" i="304" s="1"/>
  <c r="K18" i="304"/>
  <c r="K20" i="304"/>
  <c r="J6" i="310"/>
  <c r="O4" i="310"/>
  <c r="K5" i="310"/>
  <c r="F16" i="310"/>
  <c r="H16" i="310" s="1"/>
  <c r="H4" i="310" s="1"/>
  <c r="J5" i="310"/>
  <c r="J7" i="310"/>
  <c r="K6" i="310"/>
  <c r="K7" i="310"/>
  <c r="J7" i="281"/>
  <c r="J5" i="281"/>
  <c r="J6" i="281"/>
  <c r="J8" i="281"/>
  <c r="F9" i="281"/>
  <c r="H9" i="281" s="1"/>
  <c r="H4" i="281" s="1"/>
  <c r="K6" i="281"/>
  <c r="K7" i="281"/>
  <c r="K8" i="281"/>
  <c r="O4" i="281" s="1"/>
  <c r="K5" i="281"/>
  <c r="F6" i="301"/>
  <c r="H6" i="301" s="1"/>
  <c r="H4" i="301" s="1"/>
  <c r="J5" i="301"/>
  <c r="K5" i="301"/>
  <c r="O4" i="301" s="1"/>
  <c r="O176" i="14" s="1"/>
  <c r="J12" i="308"/>
  <c r="J11" i="308"/>
  <c r="J13" i="308"/>
  <c r="F14" i="308"/>
  <c r="H14" i="308" s="1"/>
  <c r="H4" i="308" s="1"/>
  <c r="O4" i="308"/>
  <c r="K5" i="308"/>
  <c r="J7" i="308"/>
  <c r="K7" i="308"/>
  <c r="J6" i="308"/>
  <c r="K12" i="308"/>
  <c r="J5" i="308"/>
  <c r="K11" i="308"/>
  <c r="K6" i="308"/>
  <c r="K13" i="308"/>
  <c r="F14" i="309"/>
  <c r="H14" i="309" s="1"/>
  <c r="H4" i="309" s="1"/>
  <c r="J11" i="309"/>
  <c r="J13" i="309"/>
  <c r="K10" i="309"/>
  <c r="J12" i="309"/>
  <c r="K12" i="309"/>
  <c r="J7" i="309"/>
  <c r="J10" i="309"/>
  <c r="K7" i="309"/>
  <c r="J8" i="309"/>
  <c r="K9" i="309"/>
  <c r="J6" i="309"/>
  <c r="J9" i="309"/>
  <c r="K13" i="309"/>
  <c r="J5" i="309"/>
  <c r="K6" i="309"/>
  <c r="K11" i="309"/>
  <c r="K8" i="309"/>
  <c r="O4" i="309" s="1"/>
  <c r="K5" i="309"/>
  <c r="J11" i="285"/>
  <c r="J7" i="285"/>
  <c r="J5" i="285"/>
  <c r="F12" i="285"/>
  <c r="H12" i="285" s="1"/>
  <c r="H4" i="285" s="1"/>
  <c r="J8" i="285"/>
  <c r="J6" i="285"/>
  <c r="K5" i="285"/>
  <c r="K7" i="285"/>
  <c r="K10" i="285"/>
  <c r="K6" i="285"/>
  <c r="K8" i="285"/>
  <c r="O4" i="285" s="1"/>
  <c r="J10" i="285"/>
  <c r="K11" i="285"/>
  <c r="F8" i="288"/>
  <c r="H8" i="288" s="1"/>
  <c r="H4" i="288" s="1"/>
  <c r="J7" i="288"/>
  <c r="J6" i="288"/>
  <c r="O4" i="288"/>
  <c r="K6" i="288"/>
  <c r="K7" i="288"/>
  <c r="J5" i="288"/>
  <c r="K5" i="288"/>
  <c r="F6" i="295"/>
  <c r="H6" i="295" s="1"/>
  <c r="H4" i="295" s="1"/>
  <c r="J5" i="295"/>
  <c r="K5" i="295"/>
  <c r="O4" i="295" s="1"/>
  <c r="O166" i="14" s="1"/>
  <c r="F16" i="311"/>
  <c r="H16" i="311" s="1"/>
  <c r="H4" i="311" s="1"/>
  <c r="J5" i="311"/>
  <c r="J7" i="311"/>
  <c r="J6" i="311"/>
  <c r="O4" i="311"/>
  <c r="K6" i="311"/>
  <c r="K5" i="311"/>
  <c r="K7" i="311"/>
  <c r="F8" i="289"/>
  <c r="H8" i="289" s="1"/>
  <c r="H4" i="289" s="1"/>
  <c r="J7" i="289"/>
  <c r="J6" i="289"/>
  <c r="K5" i="289"/>
  <c r="K6" i="289"/>
  <c r="J5" i="289"/>
  <c r="O4" i="289"/>
  <c r="K7" i="289"/>
  <c r="J8" i="279"/>
  <c r="F9" i="279"/>
  <c r="H9" i="279" s="1"/>
  <c r="H4" i="279" s="1"/>
  <c r="J6" i="279"/>
  <c r="J5" i="279"/>
  <c r="J7" i="279"/>
  <c r="K7" i="279"/>
  <c r="K6" i="279"/>
  <c r="K8" i="279"/>
  <c r="O4" i="279" s="1"/>
  <c r="K5" i="279"/>
  <c r="F9" i="299"/>
  <c r="H9" i="299" s="1"/>
  <c r="H4" i="299" s="1"/>
  <c r="J7" i="299"/>
  <c r="J8" i="299"/>
  <c r="J6" i="299"/>
  <c r="K6" i="299"/>
  <c r="K8" i="299"/>
  <c r="O4" i="299" s="1"/>
  <c r="J5" i="299"/>
  <c r="K7" i="299"/>
  <c r="K5" i="299"/>
  <c r="J18" i="305"/>
  <c r="K16" i="305"/>
  <c r="J6" i="305"/>
  <c r="J5" i="305"/>
  <c r="F21" i="305"/>
  <c r="H21" i="305" s="1"/>
  <c r="H4" i="305" s="1"/>
  <c r="K20" i="305"/>
  <c r="K6" i="305"/>
  <c r="J9" i="305"/>
  <c r="J14" i="305"/>
  <c r="K14" i="305"/>
  <c r="O4" i="305" s="1"/>
  <c r="K5" i="305"/>
  <c r="J19" i="305"/>
  <c r="J20" i="305"/>
  <c r="J15" i="305"/>
  <c r="J16" i="305"/>
  <c r="K19" i="305"/>
  <c r="K15" i="305"/>
  <c r="K9" i="305"/>
  <c r="K18" i="305"/>
  <c r="F9" i="283"/>
  <c r="H9" i="283" s="1"/>
  <c r="H4" i="283" s="1"/>
  <c r="J8" i="283"/>
  <c r="J6" i="283"/>
  <c r="J7" i="283"/>
  <c r="J5" i="283"/>
  <c r="K6" i="283"/>
  <c r="K8" i="283"/>
  <c r="O4" i="283" s="1"/>
  <c r="K5" i="283"/>
  <c r="K7" i="283"/>
  <c r="F6" i="291"/>
  <c r="H6" i="291" s="1"/>
  <c r="H4" i="291" s="1"/>
  <c r="J5" i="291"/>
  <c r="K5" i="291"/>
  <c r="O4" i="291" s="1"/>
  <c r="O162" i="14" s="1"/>
  <c r="F9" i="287"/>
  <c r="H9" i="287" s="1"/>
  <c r="H4" i="287" s="1"/>
  <c r="J6" i="287"/>
  <c r="J5" i="287"/>
  <c r="J8" i="287"/>
  <c r="K8" i="287"/>
  <c r="O4" i="287" s="1"/>
  <c r="J7" i="287"/>
  <c r="K5" i="287"/>
  <c r="K6" i="287"/>
  <c r="K7" i="287"/>
  <c r="F6" i="292"/>
  <c r="H6" i="292" s="1"/>
  <c r="H4" i="292" s="1"/>
  <c r="J5" i="292"/>
  <c r="K5" i="292"/>
  <c r="O4" i="292" s="1"/>
  <c r="O163" i="14" s="1"/>
  <c r="F20" i="306"/>
  <c r="H20" i="306" s="1"/>
  <c r="H4" i="306" s="1"/>
  <c r="O4" i="306"/>
  <c r="F9" i="290"/>
  <c r="H9" i="290" s="1"/>
  <c r="H4" i="290" s="1"/>
  <c r="K6" i="290"/>
  <c r="J6" i="290"/>
  <c r="J8" i="290"/>
  <c r="J5" i="290"/>
  <c r="K8" i="290"/>
  <c r="O4" i="290" s="1"/>
  <c r="J7" i="290"/>
  <c r="K5" i="290"/>
  <c r="K7" i="290"/>
  <c r="F9" i="282"/>
  <c r="H9" i="282" s="1"/>
  <c r="H4" i="282" s="1"/>
  <c r="J7" i="282"/>
  <c r="J8" i="282"/>
  <c r="J6" i="282"/>
  <c r="J5" i="282"/>
  <c r="K7" i="282"/>
  <c r="K8" i="282"/>
  <c r="O4" i="282" s="1"/>
  <c r="K6" i="282"/>
  <c r="K5" i="282"/>
  <c r="F9" i="296"/>
  <c r="H9" i="296" s="1"/>
  <c r="H4" i="296" s="1"/>
  <c r="J8" i="296"/>
  <c r="J7" i="296"/>
  <c r="K7" i="296"/>
  <c r="J6" i="296"/>
  <c r="J5" i="296"/>
  <c r="O4" i="296"/>
  <c r="K6" i="296"/>
  <c r="K5" i="296"/>
  <c r="K8" i="296"/>
  <c r="J8" i="298"/>
  <c r="K6" i="298"/>
  <c r="J7" i="298"/>
  <c r="J6" i="298"/>
  <c r="J5" i="298"/>
  <c r="F9" i="298"/>
  <c r="H9" i="298" s="1"/>
  <c r="H4" i="298" s="1"/>
  <c r="K5" i="298"/>
  <c r="K7" i="298"/>
  <c r="K8" i="298"/>
  <c r="O4" i="298"/>
  <c r="F6" i="293"/>
  <c r="H6" i="293" s="1"/>
  <c r="H4" i="293" s="1"/>
  <c r="O4" i="293"/>
  <c r="O164" i="14" s="1"/>
  <c r="J5" i="293"/>
  <c r="P4" i="293"/>
  <c r="P164" i="14" s="1"/>
  <c r="K5" i="293"/>
  <c r="F21" i="303"/>
  <c r="H21" i="303" s="1"/>
  <c r="H4" i="303" s="1"/>
  <c r="J16" i="303"/>
  <c r="J15" i="303"/>
  <c r="K14" i="303"/>
  <c r="J20" i="303"/>
  <c r="J14" i="303"/>
  <c r="K16" i="303"/>
  <c r="K20" i="303"/>
  <c r="J8" i="303"/>
  <c r="J6" i="303"/>
  <c r="J7" i="303"/>
  <c r="J9" i="303"/>
  <c r="J5" i="303"/>
  <c r="K9" i="303"/>
  <c r="K7" i="303"/>
  <c r="K6" i="303"/>
  <c r="K8" i="303"/>
  <c r="O4" i="303" s="1"/>
  <c r="K15" i="303"/>
  <c r="K5" i="303"/>
  <c r="F9" i="284"/>
  <c r="H9" i="284" s="1"/>
  <c r="H4" i="284" s="1"/>
  <c r="J8" i="284"/>
  <c r="J7" i="284"/>
  <c r="J5" i="284"/>
  <c r="J6" i="284"/>
  <c r="K6" i="284"/>
  <c r="K8" i="284"/>
  <c r="O4" i="284" s="1"/>
  <c r="K7" i="284"/>
  <c r="K5" i="284"/>
  <c r="F10" i="286"/>
  <c r="H10" i="286" s="1"/>
  <c r="H4" i="286" s="1"/>
  <c r="J9" i="286"/>
  <c r="J7" i="286"/>
  <c r="K9" i="286"/>
  <c r="O4" i="286" s="1"/>
  <c r="J5" i="286"/>
  <c r="K7" i="286"/>
  <c r="K5" i="286"/>
  <c r="J8" i="286"/>
  <c r="K8" i="286"/>
  <c r="J5" i="294"/>
  <c r="F6" i="294"/>
  <c r="H6" i="294" s="1"/>
  <c r="H4" i="294" s="1"/>
  <c r="K5" i="294"/>
  <c r="F6" i="300"/>
  <c r="H6" i="300" s="1"/>
  <c r="H4" i="300" s="1"/>
  <c r="J5" i="300"/>
  <c r="K5" i="300"/>
  <c r="O4" i="300" s="1"/>
  <c r="K20" i="302"/>
  <c r="J20" i="302"/>
  <c r="F21" i="302"/>
  <c r="H21" i="302" s="1"/>
  <c r="H4" i="302" s="1"/>
  <c r="J7" i="302"/>
  <c r="J6" i="302"/>
  <c r="K5" i="302"/>
  <c r="K7" i="302"/>
  <c r="J5" i="302"/>
  <c r="K8" i="302"/>
  <c r="J8" i="302"/>
  <c r="K6" i="302"/>
  <c r="O4" i="302"/>
  <c r="F16" i="232"/>
  <c r="H16" i="232" s="1"/>
  <c r="H4" i="232" s="1"/>
  <c r="J10" i="232"/>
  <c r="J12" i="232"/>
  <c r="J14" i="232"/>
  <c r="K10" i="232"/>
  <c r="K12" i="232"/>
  <c r="J6" i="232"/>
  <c r="J15" i="232"/>
  <c r="J11" i="232"/>
  <c r="J13" i="232"/>
  <c r="J5" i="232"/>
  <c r="K6" i="232"/>
  <c r="K13" i="232"/>
  <c r="K14" i="232"/>
  <c r="K11" i="232"/>
  <c r="O4" i="232" s="1"/>
  <c r="K15" i="232"/>
  <c r="K5" i="232"/>
  <c r="F9" i="259"/>
  <c r="H9" i="259" s="1"/>
  <c r="H4" i="259" s="1"/>
  <c r="K7" i="259"/>
  <c r="J8" i="259"/>
  <c r="J6" i="259"/>
  <c r="J7" i="259"/>
  <c r="K8" i="259"/>
  <c r="O4" i="259" s="1"/>
  <c r="J5" i="259"/>
  <c r="K6" i="259"/>
  <c r="K5" i="259"/>
  <c r="F7" i="242"/>
  <c r="H7" i="242" s="1"/>
  <c r="H4" i="242" s="1"/>
  <c r="J5" i="242"/>
  <c r="K5" i="242"/>
  <c r="J6" i="242"/>
  <c r="K6" i="242"/>
  <c r="O4" i="242" s="1"/>
  <c r="F9" i="244"/>
  <c r="H9" i="244" s="1"/>
  <c r="H4" i="244" s="1"/>
  <c r="K6" i="244"/>
  <c r="J6" i="244"/>
  <c r="K8" i="244"/>
  <c r="O4" i="244" s="1"/>
  <c r="J5" i="244"/>
  <c r="J7" i="244"/>
  <c r="K7" i="244"/>
  <c r="J8" i="244"/>
  <c r="K5" i="244"/>
  <c r="F8" i="251"/>
  <c r="H8" i="251" s="1"/>
  <c r="H4" i="251" s="1"/>
  <c r="J6" i="251"/>
  <c r="K6" i="251"/>
  <c r="K7" i="251"/>
  <c r="O4" i="251" s="1"/>
  <c r="J7" i="251"/>
  <c r="J5" i="251"/>
  <c r="K5" i="251"/>
  <c r="F10" i="255"/>
  <c r="H10" i="255" s="1"/>
  <c r="H4" i="255" s="1"/>
  <c r="J8" i="255"/>
  <c r="J9" i="255"/>
  <c r="J7" i="255"/>
  <c r="K6" i="255"/>
  <c r="K8" i="255"/>
  <c r="O4" i="255"/>
  <c r="J5" i="255"/>
  <c r="J6" i="255"/>
  <c r="K5" i="255"/>
  <c r="K7" i="255"/>
  <c r="K9" i="255"/>
  <c r="J7" i="258"/>
  <c r="J8" i="258"/>
  <c r="K5" i="258"/>
  <c r="J5" i="258"/>
  <c r="K7" i="258"/>
  <c r="J6" i="258"/>
  <c r="F9" i="258"/>
  <c r="H9" i="258" s="1"/>
  <c r="H4" i="258" s="1"/>
  <c r="K6" i="258"/>
  <c r="K8" i="258"/>
  <c r="O4" i="258" s="1"/>
  <c r="F9" i="275"/>
  <c r="H9" i="275" s="1"/>
  <c r="H4" i="275" s="1"/>
  <c r="P4" i="275"/>
  <c r="J7" i="275"/>
  <c r="J8" i="275"/>
  <c r="J6" i="275"/>
  <c r="K7" i="275"/>
  <c r="J5" i="275"/>
  <c r="K8" i="275"/>
  <c r="O4" i="275" s="1"/>
  <c r="K6" i="275"/>
  <c r="K5" i="275"/>
  <c r="F9" i="254"/>
  <c r="H9" i="254" s="1"/>
  <c r="H4" i="254" s="1"/>
  <c r="J8" i="254"/>
  <c r="J7" i="254"/>
  <c r="J5" i="254"/>
  <c r="J6" i="254"/>
  <c r="K6" i="254"/>
  <c r="K7" i="254"/>
  <c r="K5" i="254"/>
  <c r="K8" i="254"/>
  <c r="O4" i="254" s="1"/>
  <c r="F21" i="228"/>
  <c r="H21" i="228" s="1"/>
  <c r="H4" i="228" s="1"/>
  <c r="J5" i="228"/>
  <c r="J20" i="228"/>
  <c r="K5" i="228"/>
  <c r="K20" i="228"/>
  <c r="O4" i="228"/>
  <c r="K9" i="230"/>
  <c r="O4" i="230" s="1"/>
  <c r="J9" i="230"/>
  <c r="H4" i="230"/>
  <c r="J6" i="230"/>
  <c r="K6" i="230"/>
  <c r="J10" i="230"/>
  <c r="J5" i="230"/>
  <c r="J8" i="230"/>
  <c r="K5" i="230"/>
  <c r="K10" i="230"/>
  <c r="K8" i="230"/>
  <c r="F9" i="236"/>
  <c r="H9" i="236" s="1"/>
  <c r="H4" i="236" s="1"/>
  <c r="J6" i="236"/>
  <c r="K8" i="236"/>
  <c r="O4" i="236" s="1"/>
  <c r="J8" i="236"/>
  <c r="J5" i="236"/>
  <c r="K6" i="236"/>
  <c r="J7" i="236"/>
  <c r="K5" i="236"/>
  <c r="K7" i="236"/>
  <c r="F9" i="249"/>
  <c r="H9" i="249" s="1"/>
  <c r="H4" i="249" s="1"/>
  <c r="K7" i="249"/>
  <c r="K6" i="249"/>
  <c r="J7" i="249"/>
  <c r="K8" i="249"/>
  <c r="O4" i="249" s="1"/>
  <c r="J8" i="249"/>
  <c r="J6" i="249"/>
  <c r="J5" i="249"/>
  <c r="K5" i="249"/>
  <c r="F9" i="261"/>
  <c r="H9" i="261" s="1"/>
  <c r="H4" i="261" s="1"/>
  <c r="K8" i="261"/>
  <c r="O4" i="261" s="1"/>
  <c r="J5" i="261"/>
  <c r="J7" i="261"/>
  <c r="K6" i="261"/>
  <c r="J8" i="261"/>
  <c r="J6" i="261"/>
  <c r="K7" i="261"/>
  <c r="K5" i="261"/>
  <c r="F9" i="265"/>
  <c r="H9" i="265" s="1"/>
  <c r="H4" i="265" s="1"/>
  <c r="J6" i="265"/>
  <c r="J8" i="265"/>
  <c r="K8" i="265"/>
  <c r="O4" i="265" s="1"/>
  <c r="J5" i="265"/>
  <c r="K6" i="265"/>
  <c r="J7" i="265"/>
  <c r="K7" i="265"/>
  <c r="K5" i="265"/>
  <c r="N4" i="265"/>
  <c r="F9" i="277"/>
  <c r="H9" i="277" s="1"/>
  <c r="H4" i="277" s="1"/>
  <c r="J8" i="277"/>
  <c r="J6" i="277"/>
  <c r="J7" i="277"/>
  <c r="K8" i="277"/>
  <c r="O4" i="277" s="1"/>
  <c r="J5" i="277"/>
  <c r="K6" i="277"/>
  <c r="K7" i="277"/>
  <c r="K5" i="277"/>
  <c r="F9" i="226"/>
  <c r="H9" i="226" s="1"/>
  <c r="H4" i="226" s="1"/>
  <c r="J7" i="226"/>
  <c r="K7" i="226"/>
  <c r="J6" i="226"/>
  <c r="J8" i="226"/>
  <c r="J5" i="226"/>
  <c r="K6" i="226"/>
  <c r="K8" i="226"/>
  <c r="O4" i="226" s="1"/>
  <c r="K5" i="226"/>
  <c r="F10" i="233"/>
  <c r="H10" i="233" s="1"/>
  <c r="H4" i="233" s="1"/>
  <c r="J7" i="233"/>
  <c r="J9" i="233"/>
  <c r="K5" i="233"/>
  <c r="J5" i="233"/>
  <c r="J6" i="233"/>
  <c r="J8" i="233"/>
  <c r="K7" i="233"/>
  <c r="K9" i="233"/>
  <c r="K8" i="233"/>
  <c r="O4" i="233" s="1"/>
  <c r="K6" i="233"/>
  <c r="J10" i="239"/>
  <c r="J8" i="239"/>
  <c r="K10" i="239"/>
  <c r="F11" i="239"/>
  <c r="H11" i="239" s="1"/>
  <c r="H4" i="239" s="1"/>
  <c r="K6" i="239"/>
  <c r="J6" i="239"/>
  <c r="K8" i="239"/>
  <c r="O4" i="239" s="1"/>
  <c r="J5" i="239"/>
  <c r="J9" i="239"/>
  <c r="J7" i="239"/>
  <c r="K5" i="239"/>
  <c r="K9" i="239"/>
  <c r="K7" i="239"/>
  <c r="F9" i="257"/>
  <c r="H9" i="257" s="1"/>
  <c r="H4" i="257" s="1"/>
  <c r="J5" i="257"/>
  <c r="K5" i="257"/>
  <c r="K8" i="257"/>
  <c r="O4" i="257" s="1"/>
  <c r="J8" i="257"/>
  <c r="J7" i="257"/>
  <c r="J6" i="257"/>
  <c r="K7" i="257"/>
  <c r="K6" i="257"/>
  <c r="F9" i="252"/>
  <c r="H9" i="252" s="1"/>
  <c r="H4" i="252" s="1"/>
  <c r="J6" i="252"/>
  <c r="J5" i="252"/>
  <c r="J8" i="252"/>
  <c r="J7" i="252"/>
  <c r="K7" i="252"/>
  <c r="K6" i="252"/>
  <c r="K5" i="252"/>
  <c r="K8" i="252"/>
  <c r="O4" i="252" s="1"/>
  <c r="F9" i="276"/>
  <c r="H9" i="276" s="1"/>
  <c r="H4" i="276" s="1"/>
  <c r="J8" i="276"/>
  <c r="J6" i="276"/>
  <c r="K8" i="276"/>
  <c r="O4" i="276" s="1"/>
  <c r="K6" i="276"/>
  <c r="J5" i="276"/>
  <c r="J7" i="276"/>
  <c r="K7" i="276"/>
  <c r="K5" i="276"/>
  <c r="J7" i="266"/>
  <c r="J11" i="266"/>
  <c r="F12" i="266"/>
  <c r="H12" i="266" s="1"/>
  <c r="H4" i="266" s="1"/>
  <c r="J8" i="266"/>
  <c r="K9" i="266"/>
  <c r="J9" i="266"/>
  <c r="J6" i="266"/>
  <c r="K7" i="266"/>
  <c r="J5" i="266"/>
  <c r="J10" i="266"/>
  <c r="K6" i="266"/>
  <c r="K11" i="266"/>
  <c r="K10" i="266"/>
  <c r="K5" i="266"/>
  <c r="K8" i="266"/>
  <c r="O4" i="266" s="1"/>
  <c r="K7" i="185"/>
  <c r="F9" i="234"/>
  <c r="H9" i="234" s="1"/>
  <c r="H4" i="234" s="1"/>
  <c r="K6" i="234"/>
  <c r="J7" i="234"/>
  <c r="K7" i="234"/>
  <c r="J8" i="234"/>
  <c r="J6" i="234"/>
  <c r="J5" i="234"/>
  <c r="K8" i="234"/>
  <c r="O4" i="234" s="1"/>
  <c r="K5" i="234"/>
  <c r="J11" i="235"/>
  <c r="J8" i="235"/>
  <c r="J6" i="235"/>
  <c r="K7" i="235"/>
  <c r="F12" i="235"/>
  <c r="H12" i="235" s="1"/>
  <c r="H4" i="235" s="1"/>
  <c r="J7" i="235"/>
  <c r="J9" i="235"/>
  <c r="J5" i="235"/>
  <c r="K5" i="235"/>
  <c r="K9" i="235"/>
  <c r="J10" i="235"/>
  <c r="K8" i="235"/>
  <c r="O4" i="235" s="1"/>
  <c r="K6" i="235"/>
  <c r="K10" i="235"/>
  <c r="K11" i="235"/>
  <c r="J6" i="240"/>
  <c r="F8" i="240"/>
  <c r="H8" i="240" s="1"/>
  <c r="H4" i="240" s="1"/>
  <c r="J7" i="240"/>
  <c r="K6" i="240"/>
  <c r="K7" i="240"/>
  <c r="O4" i="240"/>
  <c r="J5" i="240"/>
  <c r="K5" i="240"/>
  <c r="J10" i="248"/>
  <c r="J11" i="248"/>
  <c r="K9" i="248"/>
  <c r="K7" i="248"/>
  <c r="J9" i="248"/>
  <c r="J7" i="248"/>
  <c r="F13" i="248"/>
  <c r="H13" i="248" s="1"/>
  <c r="H4" i="248" s="1"/>
  <c r="J8" i="248"/>
  <c r="K10" i="248"/>
  <c r="J12" i="248"/>
  <c r="J6" i="248"/>
  <c r="K6" i="248"/>
  <c r="K8" i="248"/>
  <c r="O4" i="248" s="1"/>
  <c r="J5" i="248"/>
  <c r="K12" i="248"/>
  <c r="K11" i="248"/>
  <c r="K5" i="248"/>
  <c r="F9" i="256"/>
  <c r="H9" i="256" s="1"/>
  <c r="H4" i="256" s="1"/>
  <c r="J7" i="256"/>
  <c r="J6" i="256"/>
  <c r="K6" i="256"/>
  <c r="K7" i="256"/>
  <c r="J8" i="256"/>
  <c r="K8" i="256"/>
  <c r="O4" i="256" s="1"/>
  <c r="J5" i="256"/>
  <c r="K5" i="256"/>
  <c r="F9" i="269"/>
  <c r="H9" i="269" s="1"/>
  <c r="H4" i="269" s="1"/>
  <c r="K6" i="269"/>
  <c r="J6" i="269"/>
  <c r="J8" i="269"/>
  <c r="J5" i="269"/>
  <c r="K8" i="269"/>
  <c r="O4" i="269" s="1"/>
  <c r="J7" i="269"/>
  <c r="K5" i="269"/>
  <c r="K7" i="269"/>
  <c r="N4" i="269" s="1"/>
  <c r="F13" i="270"/>
  <c r="H13" i="270" s="1"/>
  <c r="H4" i="270" s="1"/>
  <c r="K10" i="270"/>
  <c r="J10" i="270"/>
  <c r="J12" i="270"/>
  <c r="J6" i="270"/>
  <c r="K6" i="270"/>
  <c r="J9" i="270"/>
  <c r="J11" i="270"/>
  <c r="K11" i="270"/>
  <c r="K9" i="270"/>
  <c r="O4" i="270" s="1"/>
  <c r="J5" i="270"/>
  <c r="K12" i="270"/>
  <c r="K5" i="270"/>
  <c r="F10" i="247"/>
  <c r="H10" i="247" s="1"/>
  <c r="H4" i="247" s="1"/>
  <c r="J5" i="247"/>
  <c r="J8" i="247"/>
  <c r="J6" i="247"/>
  <c r="J7" i="247"/>
  <c r="J9" i="247"/>
  <c r="K9" i="247"/>
  <c r="K6" i="247"/>
  <c r="K8" i="247"/>
  <c r="O4" i="247" s="1"/>
  <c r="K5" i="247"/>
  <c r="K7" i="247"/>
  <c r="J11" i="273"/>
  <c r="J8" i="273"/>
  <c r="J6" i="273"/>
  <c r="F13" i="273"/>
  <c r="H13" i="273" s="1"/>
  <c r="H4" i="273" s="1"/>
  <c r="J7" i="273"/>
  <c r="K8" i="273"/>
  <c r="O4" i="273" s="1"/>
  <c r="J10" i="273"/>
  <c r="J5" i="273"/>
  <c r="J9" i="273"/>
  <c r="K6" i="273"/>
  <c r="J12" i="273"/>
  <c r="K10" i="273"/>
  <c r="K12" i="273"/>
  <c r="K9" i="273"/>
  <c r="K7" i="273"/>
  <c r="K5" i="273"/>
  <c r="K11" i="273"/>
  <c r="F7" i="245"/>
  <c r="H7" i="245" s="1"/>
  <c r="H4" i="245" s="1"/>
  <c r="J5" i="245"/>
  <c r="O4" i="245"/>
  <c r="K5" i="245"/>
  <c r="F9" i="231"/>
  <c r="H9" i="231" s="1"/>
  <c r="H4" i="231" s="1"/>
  <c r="J6" i="231"/>
  <c r="J8" i="231"/>
  <c r="K8" i="231"/>
  <c r="O4" i="231" s="1"/>
  <c r="K6" i="231"/>
  <c r="J5" i="231"/>
  <c r="J7" i="231"/>
  <c r="K5" i="231"/>
  <c r="K7" i="231"/>
  <c r="J11" i="246"/>
  <c r="J10" i="246"/>
  <c r="K6" i="246"/>
  <c r="J6" i="246"/>
  <c r="J12" i="246"/>
  <c r="F13" i="246"/>
  <c r="H13" i="246" s="1"/>
  <c r="H4" i="246" s="1"/>
  <c r="J8" i="246"/>
  <c r="K12" i="246"/>
  <c r="K10" i="246"/>
  <c r="J7" i="246"/>
  <c r="J9" i="246"/>
  <c r="J5" i="246"/>
  <c r="K9" i="246"/>
  <c r="K7" i="246"/>
  <c r="K8" i="246"/>
  <c r="O4" i="246" s="1"/>
  <c r="K11" i="246"/>
  <c r="K5" i="246"/>
  <c r="F9" i="253"/>
  <c r="H9" i="253" s="1"/>
  <c r="H4" i="253" s="1"/>
  <c r="J8" i="253"/>
  <c r="K8" i="253"/>
  <c r="O4" i="253" s="1"/>
  <c r="J6" i="253"/>
  <c r="J7" i="253"/>
  <c r="K7" i="253"/>
  <c r="J5" i="253"/>
  <c r="K6" i="253"/>
  <c r="K5" i="253"/>
  <c r="K8" i="260"/>
  <c r="O4" i="260" s="1"/>
  <c r="J6" i="260"/>
  <c r="F9" i="260"/>
  <c r="H9" i="260" s="1"/>
  <c r="H4" i="260" s="1"/>
  <c r="J5" i="260"/>
  <c r="J7" i="260"/>
  <c r="K6" i="260"/>
  <c r="J8" i="260"/>
  <c r="K7" i="260"/>
  <c r="K5" i="260"/>
  <c r="F8" i="268"/>
  <c r="H8" i="268" s="1"/>
  <c r="H4" i="268" s="1"/>
  <c r="J6" i="268"/>
  <c r="J7" i="268"/>
  <c r="K7" i="268"/>
  <c r="O4" i="268" s="1"/>
  <c r="J5" i="268"/>
  <c r="K6" i="268"/>
  <c r="K5" i="268"/>
  <c r="F9" i="274"/>
  <c r="H9" i="274" s="1"/>
  <c r="H4" i="274" s="1"/>
  <c r="J7" i="274"/>
  <c r="K7" i="274"/>
  <c r="J6" i="274"/>
  <c r="J8" i="274"/>
  <c r="J5" i="274"/>
  <c r="K8" i="274"/>
  <c r="O4" i="274" s="1"/>
  <c r="K6" i="274"/>
  <c r="K5" i="274"/>
  <c r="J9" i="262"/>
  <c r="J11" i="262"/>
  <c r="F13" i="262"/>
  <c r="H13" i="262" s="1"/>
  <c r="H4" i="262" s="1"/>
  <c r="J6" i="262"/>
  <c r="J7" i="262"/>
  <c r="J8" i="262"/>
  <c r="J5" i="262"/>
  <c r="K8" i="262"/>
  <c r="O4" i="262" s="1"/>
  <c r="K9" i="262"/>
  <c r="K5" i="262"/>
  <c r="K7" i="262"/>
  <c r="J10" i="262"/>
  <c r="J12" i="262"/>
  <c r="K6" i="262"/>
  <c r="K10" i="262"/>
  <c r="K12" i="262"/>
  <c r="K11" i="262"/>
  <c r="F8" i="227"/>
  <c r="H8" i="227" s="1"/>
  <c r="H4" i="227" s="1"/>
  <c r="J6" i="227"/>
  <c r="K6" i="227"/>
  <c r="K7" i="227"/>
  <c r="O4" i="227" s="1"/>
  <c r="J7" i="227"/>
  <c r="J5" i="227"/>
  <c r="K5" i="227"/>
  <c r="J6" i="243"/>
  <c r="F7" i="243"/>
  <c r="H7" i="243" s="1"/>
  <c r="H4" i="243" s="1"/>
  <c r="J5" i="243"/>
  <c r="K5" i="243"/>
  <c r="K6" i="243"/>
  <c r="O4" i="243" s="1"/>
  <c r="J6" i="237"/>
  <c r="K6" i="237"/>
  <c r="O4" i="237" s="1"/>
  <c r="J5" i="237"/>
  <c r="F7" i="237"/>
  <c r="H7" i="237" s="1"/>
  <c r="H4" i="237" s="1"/>
  <c r="K5" i="237"/>
  <c r="K12" i="263"/>
  <c r="K10" i="263"/>
  <c r="F13" i="263"/>
  <c r="H13" i="263" s="1"/>
  <c r="H4" i="263" s="1"/>
  <c r="J11" i="263"/>
  <c r="J10" i="263"/>
  <c r="K9" i="263"/>
  <c r="J12" i="263"/>
  <c r="J5" i="263"/>
  <c r="K11" i="263"/>
  <c r="J9" i="263"/>
  <c r="J8" i="263"/>
  <c r="J6" i="263"/>
  <c r="J7" i="263"/>
  <c r="K5" i="263"/>
  <c r="K6" i="263"/>
  <c r="K7" i="263"/>
  <c r="K8" i="263"/>
  <c r="O4" i="263" s="1"/>
  <c r="F10" i="264"/>
  <c r="H10" i="264" s="1"/>
  <c r="H4" i="264" s="1"/>
  <c r="J7" i="264"/>
  <c r="J6" i="264"/>
  <c r="J8" i="264"/>
  <c r="K8" i="264"/>
  <c r="O4" i="264" s="1"/>
  <c r="K7" i="264"/>
  <c r="K9" i="264"/>
  <c r="K6" i="264"/>
  <c r="J9" i="264"/>
  <c r="J5" i="264"/>
  <c r="K5" i="264"/>
  <c r="F12" i="267"/>
  <c r="H12" i="267" s="1"/>
  <c r="H4" i="267" s="1"/>
  <c r="J10" i="267"/>
  <c r="J11" i="267"/>
  <c r="J9" i="267"/>
  <c r="K10" i="267"/>
  <c r="K7" i="267"/>
  <c r="J7" i="267"/>
  <c r="K11" i="267"/>
  <c r="J6" i="267"/>
  <c r="J8" i="267"/>
  <c r="K9" i="267"/>
  <c r="J5" i="267"/>
  <c r="K8" i="267"/>
  <c r="O4" i="267" s="1"/>
  <c r="K6" i="267"/>
  <c r="K5" i="267"/>
  <c r="F9" i="278"/>
  <c r="H9" i="278" s="1"/>
  <c r="H4" i="278" s="1"/>
  <c r="K7" i="278"/>
  <c r="J6" i="278"/>
  <c r="J5" i="278"/>
  <c r="J7" i="278"/>
  <c r="J8" i="278"/>
  <c r="K5" i="278"/>
  <c r="K8" i="278"/>
  <c r="O4" i="278" s="1"/>
  <c r="K6" i="278"/>
  <c r="F7" i="229"/>
  <c r="H7" i="229" s="1"/>
  <c r="H4" i="229" s="1"/>
  <c r="J5" i="229"/>
  <c r="K5" i="229"/>
  <c r="J6" i="229"/>
  <c r="K6" i="229"/>
  <c r="O4" i="229" s="1"/>
  <c r="F11" i="238"/>
  <c r="H11" i="238" s="1"/>
  <c r="H4" i="238" s="1"/>
  <c r="J10" i="238"/>
  <c r="K10" i="238"/>
  <c r="J9" i="238"/>
  <c r="J7" i="238"/>
  <c r="K9" i="238"/>
  <c r="J6" i="238"/>
  <c r="K7" i="238"/>
  <c r="J5" i="238"/>
  <c r="J8" i="238"/>
  <c r="K8" i="238"/>
  <c r="O4" i="238" s="1"/>
  <c r="K5" i="238"/>
  <c r="K6" i="238"/>
  <c r="F9" i="241"/>
  <c r="H9" i="241" s="1"/>
  <c r="H4" i="241" s="1"/>
  <c r="J8" i="241"/>
  <c r="J5" i="241"/>
  <c r="J7" i="241"/>
  <c r="J6" i="241"/>
  <c r="K6" i="241"/>
  <c r="K7" i="241"/>
  <c r="K8" i="241"/>
  <c r="O4" i="241" s="1"/>
  <c r="K5" i="241"/>
  <c r="J10" i="250"/>
  <c r="J11" i="250"/>
  <c r="J9" i="250"/>
  <c r="J7" i="250"/>
  <c r="K6" i="250"/>
  <c r="J6" i="250"/>
  <c r="F12" i="250"/>
  <c r="H12" i="250" s="1"/>
  <c r="H4" i="250" s="1"/>
  <c r="K5" i="250"/>
  <c r="J5" i="250"/>
  <c r="J8" i="250"/>
  <c r="K9" i="250"/>
  <c r="K8" i="250"/>
  <c r="O4" i="250" s="1"/>
  <c r="K7" i="250"/>
  <c r="K10" i="250"/>
  <c r="K11" i="250"/>
  <c r="F9" i="272"/>
  <c r="H9" i="272" s="1"/>
  <c r="H4" i="272" s="1"/>
  <c r="J8" i="272"/>
  <c r="J6" i="272"/>
  <c r="K6" i="272"/>
  <c r="K8" i="272"/>
  <c r="O4" i="272" s="1"/>
  <c r="J5" i="272"/>
  <c r="J7" i="272"/>
  <c r="K5" i="272"/>
  <c r="K7" i="272"/>
  <c r="F11" i="271"/>
  <c r="H11" i="271" s="1"/>
  <c r="H4" i="271" s="1"/>
  <c r="J9" i="271"/>
  <c r="J10" i="271"/>
  <c r="J7" i="271"/>
  <c r="K10" i="271"/>
  <c r="J8" i="271"/>
  <c r="K7" i="271"/>
  <c r="K9" i="271"/>
  <c r="J6" i="271"/>
  <c r="K6" i="271"/>
  <c r="J5" i="271"/>
  <c r="K8" i="271"/>
  <c r="O4" i="271" s="1"/>
  <c r="K5" i="271"/>
  <c r="M4" i="225"/>
  <c r="J6" i="185"/>
  <c r="F9" i="185"/>
  <c r="H9" i="185" s="1"/>
  <c r="H4" i="185" s="1"/>
  <c r="K5" i="185"/>
  <c r="J8" i="185"/>
  <c r="N4" i="185"/>
  <c r="F17" i="192"/>
  <c r="H17" i="192" s="1"/>
  <c r="H4" i="192" s="1"/>
  <c r="J14" i="192"/>
  <c r="J16" i="192"/>
  <c r="J13" i="192"/>
  <c r="J15" i="192"/>
  <c r="J6" i="192"/>
  <c r="J12" i="192"/>
  <c r="K14" i="192"/>
  <c r="K15" i="192"/>
  <c r="J5" i="192"/>
  <c r="K6" i="192"/>
  <c r="K13" i="192"/>
  <c r="O4" i="192" s="1"/>
  <c r="K12" i="192"/>
  <c r="K5" i="192"/>
  <c r="K16" i="192"/>
  <c r="F12" i="191"/>
  <c r="H12" i="191" s="1"/>
  <c r="H4" i="191" s="1"/>
  <c r="J11" i="191"/>
  <c r="J7" i="191"/>
  <c r="K10" i="191"/>
  <c r="J10" i="191"/>
  <c r="K7" i="191"/>
  <c r="K5" i="191"/>
  <c r="J6" i="191"/>
  <c r="J5" i="191"/>
  <c r="J9" i="191"/>
  <c r="K8" i="191"/>
  <c r="O4" i="191" s="1"/>
  <c r="J8" i="191"/>
  <c r="K9" i="191"/>
  <c r="K6" i="191"/>
  <c r="K11" i="191"/>
  <c r="F9" i="189"/>
  <c r="H9" i="189" s="1"/>
  <c r="H4" i="189" s="1"/>
  <c r="J8" i="189"/>
  <c r="K7" i="189"/>
  <c r="J7" i="189"/>
  <c r="K8" i="189"/>
  <c r="O4" i="189" s="1"/>
  <c r="K5" i="189"/>
  <c r="J6" i="189"/>
  <c r="J5" i="189"/>
  <c r="K6" i="189"/>
  <c r="J6" i="194"/>
  <c r="F10" i="194"/>
  <c r="H10" i="194" s="1"/>
  <c r="H4" i="194" s="1"/>
  <c r="K8" i="194"/>
  <c r="O4" i="194" s="1"/>
  <c r="J8" i="194"/>
  <c r="K6" i="194"/>
  <c r="J9" i="194"/>
  <c r="J7" i="194"/>
  <c r="J5" i="194"/>
  <c r="K5" i="194"/>
  <c r="K7" i="194"/>
  <c r="K9" i="194"/>
  <c r="K5" i="190"/>
  <c r="K7" i="190"/>
  <c r="F9" i="190"/>
  <c r="H9" i="190" s="1"/>
  <c r="H4" i="190" s="1"/>
  <c r="J7" i="190"/>
  <c r="J5" i="190"/>
  <c r="J8" i="190"/>
  <c r="J6" i="190"/>
  <c r="K8" i="190"/>
  <c r="O4" i="190" s="1"/>
  <c r="K6" i="190"/>
  <c r="K5" i="195"/>
  <c r="J9" i="195"/>
  <c r="J7" i="195"/>
  <c r="J8" i="195"/>
  <c r="J11" i="195"/>
  <c r="K6" i="195"/>
  <c r="J6" i="195"/>
  <c r="F13" i="195"/>
  <c r="H13" i="195" s="1"/>
  <c r="H4" i="195" s="1"/>
  <c r="J5" i="195"/>
  <c r="K11" i="195"/>
  <c r="K7" i="195"/>
  <c r="K10" i="195"/>
  <c r="J10" i="195"/>
  <c r="J12" i="195"/>
  <c r="K9" i="195"/>
  <c r="K12" i="195"/>
  <c r="K8" i="195"/>
  <c r="O4" i="195" s="1"/>
  <c r="J8" i="188"/>
  <c r="J7" i="188"/>
  <c r="F10" i="188"/>
  <c r="H10" i="188" s="1"/>
  <c r="H4" i="188" s="1"/>
  <c r="J5" i="188"/>
  <c r="K9" i="188"/>
  <c r="K5" i="188"/>
  <c r="K8" i="188"/>
  <c r="O4" i="188" s="1"/>
  <c r="J6" i="188"/>
  <c r="J9" i="188"/>
  <c r="K7" i="188"/>
  <c r="K6" i="188"/>
  <c r="F9" i="196"/>
  <c r="H9" i="196" s="1"/>
  <c r="H4" i="196" s="1"/>
  <c r="J5" i="196"/>
  <c r="J7" i="196"/>
  <c r="J6" i="196"/>
  <c r="K6" i="196"/>
  <c r="J8" i="196"/>
  <c r="K5" i="196"/>
  <c r="K7" i="196"/>
  <c r="K8" i="196"/>
  <c r="O4" i="196" s="1"/>
  <c r="F9" i="199"/>
  <c r="H9" i="199" s="1"/>
  <c r="H4" i="199" s="1"/>
  <c r="J7" i="199"/>
  <c r="K7" i="199"/>
  <c r="J6" i="199"/>
  <c r="J8" i="199"/>
  <c r="K6" i="199"/>
  <c r="J5" i="199"/>
  <c r="K8" i="199"/>
  <c r="O4" i="199" s="1"/>
  <c r="K5" i="199"/>
  <c r="J6" i="186"/>
  <c r="J8" i="186"/>
  <c r="F9" i="186"/>
  <c r="H9" i="186" s="1"/>
  <c r="H4" i="186" s="1"/>
  <c r="J7" i="186"/>
  <c r="J5" i="186"/>
  <c r="K5" i="186"/>
  <c r="K6" i="186"/>
  <c r="K8" i="186"/>
  <c r="O4" i="186" s="1"/>
  <c r="K7" i="186"/>
  <c r="J14" i="193"/>
  <c r="J13" i="193"/>
  <c r="J15" i="193"/>
  <c r="J6" i="193"/>
  <c r="O4" i="193"/>
  <c r="J7" i="193"/>
  <c r="K6" i="193"/>
  <c r="H4" i="193"/>
  <c r="K7" i="193"/>
  <c r="K13" i="193"/>
  <c r="K12" i="193"/>
  <c r="K15" i="193"/>
  <c r="J5" i="193"/>
  <c r="J12" i="193"/>
  <c r="K14" i="193"/>
  <c r="K5" i="193"/>
  <c r="J13" i="187"/>
  <c r="F16" i="187"/>
  <c r="H16" i="187" s="1"/>
  <c r="H4" i="187" s="1"/>
  <c r="J12" i="187"/>
  <c r="J14" i="187"/>
  <c r="J10" i="187"/>
  <c r="J9" i="187"/>
  <c r="J6" i="187"/>
  <c r="K13" i="187"/>
  <c r="K6" i="187"/>
  <c r="J15" i="187"/>
  <c r="K12" i="187"/>
  <c r="K10" i="187"/>
  <c r="O4" i="187" s="1"/>
  <c r="K15" i="187"/>
  <c r="K9" i="187"/>
  <c r="K14" i="187"/>
  <c r="J5" i="187"/>
  <c r="K5" i="187"/>
  <c r="J11" i="197"/>
  <c r="K6" i="197"/>
  <c r="J6" i="197"/>
  <c r="J10" i="197"/>
  <c r="J8" i="197"/>
  <c r="F12" i="197"/>
  <c r="H12" i="197" s="1"/>
  <c r="H4" i="197" s="1"/>
  <c r="K8" i="197"/>
  <c r="O4" i="197" s="1"/>
  <c r="J9" i="197"/>
  <c r="K10" i="197"/>
  <c r="J5" i="197"/>
  <c r="K7" i="197"/>
  <c r="J7" i="197"/>
  <c r="K5" i="197"/>
  <c r="K9" i="197"/>
  <c r="K11" i="197"/>
  <c r="J11" i="165"/>
  <c r="F12" i="165"/>
  <c r="H12" i="165" s="1"/>
  <c r="H4" i="165" s="1"/>
  <c r="J10" i="165"/>
  <c r="K6" i="165"/>
  <c r="J5" i="165"/>
  <c r="K5" i="165"/>
  <c r="K10" i="165"/>
  <c r="J9" i="165"/>
  <c r="K8" i="165"/>
  <c r="O4" i="165" s="1"/>
  <c r="J8" i="165"/>
  <c r="J7" i="165"/>
  <c r="J6" i="165"/>
  <c r="K9" i="165"/>
  <c r="K7" i="165"/>
  <c r="K11" i="165"/>
  <c r="J11" i="183"/>
  <c r="J6" i="183"/>
  <c r="J8" i="183"/>
  <c r="F12" i="183"/>
  <c r="H12" i="183" s="1"/>
  <c r="H4" i="183" s="1"/>
  <c r="K8" i="183"/>
  <c r="O4" i="183" s="1"/>
  <c r="K6" i="183"/>
  <c r="J10" i="183"/>
  <c r="J9" i="183"/>
  <c r="J7" i="183"/>
  <c r="J5" i="183"/>
  <c r="K5" i="183"/>
  <c r="K9" i="183"/>
  <c r="K7" i="183"/>
  <c r="K10" i="183"/>
  <c r="K11" i="183"/>
  <c r="F12" i="172"/>
  <c r="H12" i="172" s="1"/>
  <c r="H4" i="172" s="1"/>
  <c r="O4" i="172"/>
  <c r="F9" i="174"/>
  <c r="H9" i="174" s="1"/>
  <c r="H4" i="174" s="1"/>
  <c r="J5" i="174"/>
  <c r="K5" i="174"/>
  <c r="J6" i="174"/>
  <c r="J7" i="174"/>
  <c r="J8" i="174"/>
  <c r="K7" i="174"/>
  <c r="K6" i="174"/>
  <c r="K8" i="174"/>
  <c r="O4" i="174" s="1"/>
  <c r="F13" i="170"/>
  <c r="H13" i="170" s="1"/>
  <c r="H4" i="170" s="1"/>
  <c r="J11" i="170"/>
  <c r="J8" i="170"/>
  <c r="J10" i="170"/>
  <c r="K8" i="170"/>
  <c r="O4" i="170" s="1"/>
  <c r="K10" i="170"/>
  <c r="J6" i="170"/>
  <c r="K12" i="170"/>
  <c r="J9" i="170"/>
  <c r="J7" i="170"/>
  <c r="J12" i="170"/>
  <c r="K6" i="170"/>
  <c r="J5" i="170"/>
  <c r="K5" i="170"/>
  <c r="K9" i="170"/>
  <c r="K7" i="170"/>
  <c r="K11" i="170"/>
  <c r="F9" i="182"/>
  <c r="H9" i="182" s="1"/>
  <c r="H4" i="182" s="1"/>
  <c r="J8" i="182"/>
  <c r="J6" i="182"/>
  <c r="K8" i="182"/>
  <c r="O4" i="182" s="1"/>
  <c r="K6" i="182"/>
  <c r="J7" i="182"/>
  <c r="J5" i="182"/>
  <c r="K7" i="182"/>
  <c r="K5" i="182"/>
  <c r="F8" i="173"/>
  <c r="H8" i="173" s="1"/>
  <c r="H4" i="173" s="1"/>
  <c r="O4" i="173"/>
  <c r="F9" i="176"/>
  <c r="H9" i="176" s="1"/>
  <c r="H4" i="176" s="1"/>
  <c r="J8" i="176"/>
  <c r="J6" i="176"/>
  <c r="J5" i="176"/>
  <c r="J7" i="176"/>
  <c r="K5" i="176"/>
  <c r="K8" i="176"/>
  <c r="O4" i="176" s="1"/>
  <c r="K6" i="176"/>
  <c r="K7" i="176"/>
  <c r="F13" i="181"/>
  <c r="H13" i="181" s="1"/>
  <c r="H4" i="181" s="1"/>
  <c r="J8" i="181"/>
  <c r="J6" i="181"/>
  <c r="J11" i="181"/>
  <c r="J9" i="181"/>
  <c r="J10" i="181"/>
  <c r="J7" i="181"/>
  <c r="K12" i="181"/>
  <c r="J12" i="181"/>
  <c r="K6" i="181"/>
  <c r="K10" i="181"/>
  <c r="K9" i="181"/>
  <c r="K8" i="181"/>
  <c r="O4" i="181" s="1"/>
  <c r="K7" i="181"/>
  <c r="J5" i="181"/>
  <c r="K11" i="181"/>
  <c r="K5" i="181"/>
  <c r="F10" i="169"/>
  <c r="H10" i="169" s="1"/>
  <c r="H4" i="169" s="1"/>
  <c r="K8" i="169"/>
  <c r="O4" i="169" s="1"/>
  <c r="J9" i="169"/>
  <c r="J6" i="169"/>
  <c r="J5" i="169"/>
  <c r="K6" i="169"/>
  <c r="J7" i="169"/>
  <c r="J8" i="169"/>
  <c r="K5" i="169"/>
  <c r="K7" i="169"/>
  <c r="K9" i="169"/>
  <c r="F9" i="178"/>
  <c r="H9" i="178" s="1"/>
  <c r="H4" i="178" s="1"/>
  <c r="K6" i="178"/>
  <c r="J7" i="178"/>
  <c r="J6" i="178"/>
  <c r="K8" i="178"/>
  <c r="O4" i="178" s="1"/>
  <c r="J8" i="178"/>
  <c r="J5" i="178"/>
  <c r="K5" i="178"/>
  <c r="N4" i="178"/>
  <c r="K7" i="178"/>
  <c r="J7" i="179"/>
  <c r="J5" i="179"/>
  <c r="J11" i="179"/>
  <c r="J6" i="179"/>
  <c r="F13" i="179"/>
  <c r="H13" i="179" s="1"/>
  <c r="H4" i="179" s="1"/>
  <c r="J8" i="179"/>
  <c r="K7" i="179"/>
  <c r="K5" i="179"/>
  <c r="J10" i="179"/>
  <c r="K8" i="179"/>
  <c r="O4" i="179" s="1"/>
  <c r="J9" i="179"/>
  <c r="J12" i="179"/>
  <c r="K9" i="179"/>
  <c r="K6" i="179"/>
  <c r="K12" i="179"/>
  <c r="K10" i="179"/>
  <c r="K11" i="179"/>
  <c r="F9" i="167"/>
  <c r="H9" i="167" s="1"/>
  <c r="H4" i="167" s="1"/>
  <c r="J7" i="167"/>
  <c r="J8" i="167"/>
  <c r="J6" i="167"/>
  <c r="K7" i="167"/>
  <c r="K8" i="167"/>
  <c r="K6" i="167"/>
  <c r="J5" i="167"/>
  <c r="O4" i="167"/>
  <c r="K5" i="167"/>
  <c r="F8" i="166"/>
  <c r="H8" i="166" s="1"/>
  <c r="H4" i="166" s="1"/>
  <c r="J6" i="166"/>
  <c r="K6" i="166"/>
  <c r="J7" i="166"/>
  <c r="J5" i="166"/>
  <c r="K7" i="166"/>
  <c r="O4" i="166" s="1"/>
  <c r="K5" i="166"/>
  <c r="J6" i="171"/>
  <c r="F9" i="171"/>
  <c r="H9" i="171" s="1"/>
  <c r="H4" i="171" s="1"/>
  <c r="J8" i="171"/>
  <c r="J7" i="171"/>
  <c r="K5" i="171"/>
  <c r="K7" i="171"/>
  <c r="K6" i="171"/>
  <c r="J5" i="171"/>
  <c r="K8" i="171"/>
  <c r="O4" i="171" s="1"/>
  <c r="F10" i="180"/>
  <c r="H10" i="180" s="1"/>
  <c r="H4" i="180" s="1"/>
  <c r="J9" i="180"/>
  <c r="K7" i="180"/>
  <c r="J6" i="180"/>
  <c r="K9" i="180"/>
  <c r="J7" i="180"/>
  <c r="J8" i="180"/>
  <c r="K8" i="180"/>
  <c r="O4" i="180" s="1"/>
  <c r="K6" i="180"/>
  <c r="J5" i="180"/>
  <c r="K5" i="180"/>
  <c r="F13" i="168"/>
  <c r="H13" i="168" s="1"/>
  <c r="H4" i="168" s="1"/>
  <c r="J11" i="168"/>
  <c r="J10" i="168"/>
  <c r="J9" i="168"/>
  <c r="K12" i="168"/>
  <c r="J7" i="168"/>
  <c r="K7" i="168"/>
  <c r="J12" i="168"/>
  <c r="J6" i="168"/>
  <c r="K10" i="168"/>
  <c r="K9" i="168"/>
  <c r="J8" i="168"/>
  <c r="K6" i="168"/>
  <c r="K8" i="168"/>
  <c r="O4" i="168" s="1"/>
  <c r="K11" i="168"/>
  <c r="J5" i="168"/>
  <c r="K5" i="168"/>
  <c r="J8" i="175"/>
  <c r="F9" i="175"/>
  <c r="H9" i="175" s="1"/>
  <c r="H4" i="175" s="1"/>
  <c r="O4" i="175"/>
  <c r="J7" i="175"/>
  <c r="K6" i="175"/>
  <c r="K5" i="175"/>
  <c r="J6" i="175"/>
  <c r="J5" i="175"/>
  <c r="K7" i="175"/>
  <c r="K8" i="175"/>
  <c r="F8" i="184"/>
  <c r="H8" i="184" s="1"/>
  <c r="H4" i="184" s="1"/>
  <c r="K7" i="184"/>
  <c r="O4" i="184" s="1"/>
  <c r="J6" i="184"/>
  <c r="J7" i="184"/>
  <c r="K6" i="184"/>
  <c r="J5" i="184"/>
  <c r="K5" i="184"/>
  <c r="F13" i="161"/>
  <c r="H13" i="161" s="1"/>
  <c r="H4" i="161" s="1"/>
  <c r="J9" i="161"/>
  <c r="K8" i="161"/>
  <c r="J7" i="161"/>
  <c r="J12" i="161"/>
  <c r="J8" i="161"/>
  <c r="K12" i="161"/>
  <c r="K7" i="161"/>
  <c r="J6" i="161"/>
  <c r="K6" i="161"/>
  <c r="O4" i="161"/>
  <c r="J5" i="161"/>
  <c r="K9" i="161"/>
  <c r="K5" i="161"/>
  <c r="F6" i="159"/>
  <c r="H6" i="159" s="1"/>
  <c r="H4" i="159" s="1"/>
  <c r="J5" i="159"/>
  <c r="K5" i="159"/>
  <c r="K8" i="162"/>
  <c r="O4" i="162" s="1"/>
  <c r="K6" i="162"/>
  <c r="F10" i="162"/>
  <c r="H10" i="162" s="1"/>
  <c r="H4" i="162" s="1"/>
  <c r="J8" i="162"/>
  <c r="J6" i="162"/>
  <c r="J9" i="162"/>
  <c r="J7" i="162"/>
  <c r="J5" i="162"/>
  <c r="K7" i="162"/>
  <c r="K5" i="162"/>
  <c r="K9" i="162"/>
  <c r="F13" i="163"/>
  <c r="H13" i="163" s="1"/>
  <c r="H4" i="163" s="1"/>
  <c r="J9" i="163"/>
  <c r="K9" i="163"/>
  <c r="O4" i="163"/>
  <c r="J11" i="163"/>
  <c r="J10" i="163"/>
  <c r="J5" i="163"/>
  <c r="J12" i="163"/>
  <c r="K10" i="163"/>
  <c r="K12" i="163"/>
  <c r="K5" i="163"/>
  <c r="K11" i="163"/>
  <c r="F6" i="160"/>
  <c r="H6" i="160" s="1"/>
  <c r="H4" i="160" s="1"/>
  <c r="J5" i="160"/>
  <c r="K5" i="160"/>
  <c r="F6" i="158"/>
  <c r="H6" i="158" s="1"/>
  <c r="H4" i="158" s="1"/>
  <c r="J5" i="158"/>
  <c r="K5" i="158"/>
  <c r="N4" i="158"/>
  <c r="F9" i="164"/>
  <c r="H9" i="164" s="1"/>
  <c r="H4" i="164" s="1"/>
  <c r="O4" i="164"/>
  <c r="J5" i="147"/>
  <c r="J7" i="147"/>
  <c r="J12" i="147"/>
  <c r="J10" i="152"/>
  <c r="F12" i="152"/>
  <c r="H12" i="152" s="1"/>
  <c r="H4" i="152" s="1"/>
  <c r="J11" i="152"/>
  <c r="J9" i="152"/>
  <c r="J6" i="152"/>
  <c r="K9" i="152"/>
  <c r="J7" i="152"/>
  <c r="J5" i="152"/>
  <c r="K10" i="152"/>
  <c r="K7" i="152"/>
  <c r="J8" i="152"/>
  <c r="K11" i="152"/>
  <c r="K5" i="152"/>
  <c r="K8" i="152"/>
  <c r="K6" i="152"/>
  <c r="J11" i="147"/>
  <c r="J7" i="154"/>
  <c r="K7" i="154"/>
  <c r="J8" i="147"/>
  <c r="K6" i="147"/>
  <c r="H4" i="155"/>
  <c r="O29" i="14"/>
  <c r="K5" i="147"/>
  <c r="F12" i="151"/>
  <c r="H12" i="151" s="1"/>
  <c r="H4" i="151" s="1"/>
  <c r="J8" i="151"/>
  <c r="J6" i="151"/>
  <c r="K7" i="151"/>
  <c r="J7" i="151"/>
  <c r="K8" i="151"/>
  <c r="O4" i="151" s="1"/>
  <c r="K5" i="151"/>
  <c r="J11" i="151"/>
  <c r="K6" i="151"/>
  <c r="J5" i="151"/>
  <c r="K11" i="151"/>
  <c r="K11" i="147"/>
  <c r="F21" i="156"/>
  <c r="H21" i="156" s="1"/>
  <c r="H4" i="156" s="1"/>
  <c r="J5" i="156"/>
  <c r="O4" i="156"/>
  <c r="K5" i="156"/>
  <c r="K12" i="147"/>
  <c r="F15" i="147"/>
  <c r="H15" i="147" s="1"/>
  <c r="H4" i="147" s="1"/>
  <c r="K7" i="147"/>
  <c r="J6" i="147"/>
  <c r="J11" i="148"/>
  <c r="J6" i="148"/>
  <c r="K6" i="148"/>
  <c r="F18" i="148"/>
  <c r="J8" i="148"/>
  <c r="K8" i="148"/>
  <c r="O4" i="148" s="1"/>
  <c r="J10" i="148"/>
  <c r="K5" i="148"/>
  <c r="J5" i="148"/>
  <c r="K7" i="148"/>
  <c r="J7" i="148"/>
  <c r="K11" i="148"/>
  <c r="F6" i="149"/>
  <c r="H6" i="149" s="1"/>
  <c r="H4" i="149" s="1"/>
  <c r="J5" i="149"/>
  <c r="K5" i="149"/>
  <c r="O4" i="149" s="1"/>
  <c r="J5" i="150"/>
  <c r="F9" i="150"/>
  <c r="H9" i="150" s="1"/>
  <c r="H4" i="150" s="1"/>
  <c r="J8" i="150"/>
  <c r="J6" i="150"/>
  <c r="K7" i="150"/>
  <c r="K5" i="150"/>
  <c r="J7" i="150"/>
  <c r="K6" i="150"/>
  <c r="K8" i="150"/>
  <c r="O4" i="150" s="1"/>
  <c r="F9" i="146"/>
  <c r="H9" i="146" s="1"/>
  <c r="H4" i="146" s="1"/>
  <c r="K7" i="146"/>
  <c r="J8" i="146"/>
  <c r="J6" i="146"/>
  <c r="J7" i="146"/>
  <c r="J5" i="146"/>
  <c r="K5" i="146"/>
  <c r="K8" i="146"/>
  <c r="O4" i="146" s="1"/>
  <c r="K6" i="146"/>
  <c r="I115" i="14"/>
  <c r="J17" i="148" l="1"/>
  <c r="K17" i="148" s="1"/>
  <c r="K9" i="148"/>
  <c r="G18" i="148"/>
  <c r="J15" i="148"/>
  <c r="K15" i="148" s="1"/>
  <c r="J16" i="148"/>
  <c r="K16" i="148" s="1"/>
  <c r="H18" i="148"/>
  <c r="H4" i="148" s="1"/>
  <c r="J13" i="148"/>
  <c r="K13" i="148" s="1"/>
  <c r="J14" i="148"/>
  <c r="K14" i="148" s="1"/>
  <c r="O39" i="14"/>
  <c r="O60" i="14"/>
  <c r="O108" i="14"/>
  <c r="O100" i="14"/>
  <c r="O105" i="14"/>
  <c r="O92" i="14"/>
  <c r="O153" i="14"/>
  <c r="O189" i="14"/>
  <c r="O40" i="14"/>
  <c r="O45" i="14"/>
  <c r="O49" i="14"/>
  <c r="O104" i="14"/>
  <c r="O150" i="14"/>
  <c r="O24" i="14"/>
  <c r="O52" i="14"/>
  <c r="O130" i="14"/>
  <c r="O133" i="14"/>
  <c r="O96" i="14"/>
  <c r="O55" i="14"/>
  <c r="O97" i="14"/>
  <c r="O180" i="14"/>
  <c r="O158" i="14"/>
  <c r="O23" i="14"/>
  <c r="N57" i="14"/>
  <c r="O111" i="14"/>
  <c r="O91" i="14"/>
  <c r="O122" i="14"/>
  <c r="O148" i="14"/>
  <c r="O21" i="14"/>
  <c r="O76" i="14"/>
  <c r="O72" i="14"/>
  <c r="O98" i="14"/>
  <c r="O131" i="14"/>
  <c r="O129" i="14"/>
  <c r="O124" i="14"/>
  <c r="O86" i="14"/>
  <c r="O80" i="14"/>
  <c r="O107" i="14"/>
  <c r="O85" i="14"/>
  <c r="P144" i="14"/>
  <c r="O117" i="14"/>
  <c r="O151" i="14"/>
  <c r="O184" i="14"/>
  <c r="O173" i="14"/>
  <c r="O159" i="14"/>
  <c r="O190" i="14"/>
  <c r="O64" i="14"/>
  <c r="O57" i="14"/>
  <c r="O65" i="14"/>
  <c r="O140" i="14"/>
  <c r="O141" i="14"/>
  <c r="O101" i="14"/>
  <c r="O183" i="14"/>
  <c r="O30" i="14"/>
  <c r="O54" i="14"/>
  <c r="O79" i="14"/>
  <c r="N56" i="14"/>
  <c r="O135" i="14"/>
  <c r="O119" i="14"/>
  <c r="O146" i="14"/>
  <c r="O155" i="14"/>
  <c r="N32" i="14"/>
  <c r="O74" i="14"/>
  <c r="O84" i="14"/>
  <c r="O102" i="14"/>
  <c r="O89" i="14"/>
  <c r="O156" i="14"/>
  <c r="O63" i="14"/>
  <c r="O182" i="14"/>
  <c r="O18" i="14"/>
  <c r="N33" i="14"/>
  <c r="O61" i="14"/>
  <c r="O138" i="14"/>
  <c r="O115" i="14"/>
  <c r="O88" i="14"/>
  <c r="O20" i="14"/>
  <c r="O48" i="14"/>
  <c r="O53" i="14"/>
  <c r="O43" i="14"/>
  <c r="O68" i="14"/>
  <c r="O69" i="14"/>
  <c r="M32" i="14"/>
  <c r="O93" i="14"/>
  <c r="N136" i="14"/>
  <c r="O145" i="14"/>
  <c r="N132" i="14"/>
  <c r="O83" i="14"/>
  <c r="O157" i="14"/>
  <c r="O50" i="14"/>
  <c r="O139" i="14"/>
  <c r="O147" i="14"/>
  <c r="O81" i="14"/>
  <c r="O120" i="14"/>
  <c r="O152" i="14"/>
  <c r="O149" i="14"/>
  <c r="O59" i="14"/>
  <c r="O62" i="14"/>
  <c r="O77" i="14"/>
  <c r="O136" i="14"/>
  <c r="O90" i="14"/>
  <c r="O181" i="14"/>
  <c r="O42" i="14"/>
  <c r="O44" i="14"/>
  <c r="O134" i="14"/>
  <c r="O110" i="14"/>
  <c r="O41" i="14"/>
  <c r="O67" i="14"/>
  <c r="O106" i="14"/>
  <c r="O132" i="14"/>
  <c r="O99" i="14"/>
  <c r="O167" i="14"/>
  <c r="O171" i="14"/>
  <c r="O47" i="14"/>
  <c r="O51" i="14"/>
  <c r="O78" i="14"/>
  <c r="O70" i="14"/>
  <c r="O75" i="14"/>
  <c r="O71" i="14"/>
  <c r="O95" i="14"/>
  <c r="O143" i="14"/>
  <c r="O125" i="14"/>
  <c r="O144" i="14"/>
  <c r="O121" i="14"/>
  <c r="O109" i="14"/>
  <c r="O175" i="14"/>
  <c r="O172" i="14"/>
  <c r="O160" i="14"/>
  <c r="O192" i="14"/>
  <c r="O191" i="14"/>
  <c r="F7" i="153"/>
  <c r="K6" i="153"/>
  <c r="K5" i="153"/>
  <c r="J5" i="153"/>
  <c r="J9" i="148"/>
  <c r="N4" i="255"/>
  <c r="O4" i="160"/>
  <c r="O35" i="14" s="1"/>
  <c r="P4" i="309"/>
  <c r="O4" i="159"/>
  <c r="O34" i="14" s="1"/>
  <c r="O4" i="294"/>
  <c r="O165" i="14" s="1"/>
  <c r="O4" i="307"/>
  <c r="O4" i="158"/>
  <c r="G4" i="148"/>
  <c r="M4" i="185"/>
  <c r="N4" i="267"/>
  <c r="N4" i="287"/>
  <c r="N4" i="289"/>
  <c r="O4" i="152"/>
  <c r="N4" i="280"/>
  <c r="P4" i="225"/>
  <c r="N4" i="156"/>
  <c r="N4" i="303"/>
  <c r="P4" i="310"/>
  <c r="N4" i="297"/>
  <c r="N4" i="298"/>
  <c r="P4" i="306"/>
  <c r="P4" i="297"/>
  <c r="N4" i="290"/>
  <c r="N4" i="295"/>
  <c r="N166" i="14" s="1"/>
  <c r="N4" i="264"/>
  <c r="N4" i="273"/>
  <c r="N4" i="250"/>
  <c r="N4" i="248"/>
  <c r="K5" i="154"/>
  <c r="M4" i="154" s="1"/>
  <c r="N4" i="168"/>
  <c r="F9" i="154"/>
  <c r="H9" i="154" s="1"/>
  <c r="H4" i="154" s="1"/>
  <c r="K8" i="154"/>
  <c r="J6" i="154"/>
  <c r="O4" i="154"/>
  <c r="K6" i="154"/>
  <c r="N4" i="154" s="1"/>
  <c r="J5" i="154"/>
  <c r="P4" i="304"/>
  <c r="P4" i="295"/>
  <c r="P166" i="14" s="1"/>
  <c r="N4" i="268"/>
  <c r="N4" i="254"/>
  <c r="N4" i="236"/>
  <c r="N4" i="284"/>
  <c r="N4" i="293"/>
  <c r="N164" i="14" s="1"/>
  <c r="N4" i="299"/>
  <c r="N4" i="308"/>
  <c r="N4" i="307"/>
  <c r="N4" i="302"/>
  <c r="N4" i="305"/>
  <c r="N4" i="186"/>
  <c r="N4" i="279"/>
  <c r="P4" i="284"/>
  <c r="N4" i="292"/>
  <c r="N163" i="14" s="1"/>
  <c r="P4" i="299"/>
  <c r="P4" i="250"/>
  <c r="P4" i="267"/>
  <c r="P4" i="268"/>
  <c r="N4" i="300"/>
  <c r="N4" i="288"/>
  <c r="P4" i="307"/>
  <c r="N4" i="190"/>
  <c r="P4" i="262"/>
  <c r="P4" i="294"/>
  <c r="P165" i="14" s="1"/>
  <c r="P4" i="290"/>
  <c r="P4" i="279"/>
  <c r="P4" i="301"/>
  <c r="P176" i="14" s="1"/>
  <c r="N4" i="310"/>
  <c r="M4" i="284"/>
  <c r="K9" i="284"/>
  <c r="K6" i="293"/>
  <c r="M4" i="293"/>
  <c r="N4" i="278"/>
  <c r="N4" i="260"/>
  <c r="N4" i="245"/>
  <c r="N4" i="270"/>
  <c r="N4" i="234"/>
  <c r="P4" i="233"/>
  <c r="N4" i="226"/>
  <c r="P4" i="244"/>
  <c r="P4" i="242"/>
  <c r="P4" i="302"/>
  <c r="K21" i="302"/>
  <c r="M4" i="302"/>
  <c r="P4" i="300"/>
  <c r="P4" i="303"/>
  <c r="P4" i="298"/>
  <c r="M4" i="290"/>
  <c r="K9" i="290"/>
  <c r="N4" i="291"/>
  <c r="N162" i="14" s="1"/>
  <c r="P4" i="283"/>
  <c r="N4" i="281"/>
  <c r="N4" i="304"/>
  <c r="M4" i="297"/>
  <c r="K11" i="297"/>
  <c r="K14" i="308"/>
  <c r="M4" i="308"/>
  <c r="P4" i="234"/>
  <c r="M4" i="294"/>
  <c r="M165" i="14" s="1"/>
  <c r="K6" i="294"/>
  <c r="M4" i="307"/>
  <c r="K20" i="307"/>
  <c r="N4" i="247"/>
  <c r="N4" i="233"/>
  <c r="M4" i="300"/>
  <c r="K6" i="300"/>
  <c r="N4" i="283"/>
  <c r="P4" i="311"/>
  <c r="M4" i="309"/>
  <c r="K14" i="309"/>
  <c r="N4" i="309"/>
  <c r="N4" i="301"/>
  <c r="N176" i="14" s="1"/>
  <c r="M4" i="281"/>
  <c r="K9" i="281"/>
  <c r="K21" i="304"/>
  <c r="M4" i="304"/>
  <c r="P4" i="296"/>
  <c r="M4" i="289"/>
  <c r="K8" i="289"/>
  <c r="N4" i="311"/>
  <c r="N4" i="285"/>
  <c r="K6" i="301"/>
  <c r="M4" i="301"/>
  <c r="P4" i="280"/>
  <c r="M4" i="280"/>
  <c r="K9" i="280"/>
  <c r="K9" i="287"/>
  <c r="M4" i="287"/>
  <c r="N4" i="274"/>
  <c r="P4" i="229"/>
  <c r="N4" i="237"/>
  <c r="P4" i="274"/>
  <c r="N4" i="246"/>
  <c r="P4" i="240"/>
  <c r="P4" i="252"/>
  <c r="N4" i="257"/>
  <c r="N4" i="239"/>
  <c r="N4" i="261"/>
  <c r="P4" i="249"/>
  <c r="N4" i="230"/>
  <c r="N4" i="242"/>
  <c r="P4" i="259"/>
  <c r="K10" i="286"/>
  <c r="M4" i="286"/>
  <c r="K9" i="296"/>
  <c r="M4" i="296"/>
  <c r="P4" i="282"/>
  <c r="M4" i="283"/>
  <c r="K9" i="283"/>
  <c r="P4" i="281"/>
  <c r="K16" i="310"/>
  <c r="M4" i="310"/>
  <c r="M4" i="299"/>
  <c r="K9" i="299"/>
  <c r="K20" i="306"/>
  <c r="M4" i="306"/>
  <c r="K6" i="291"/>
  <c r="M4" i="291"/>
  <c r="M162" i="14" s="1"/>
  <c r="N4" i="192"/>
  <c r="K9" i="185"/>
  <c r="N4" i="253"/>
  <c r="P4" i="228"/>
  <c r="P4" i="251"/>
  <c r="N4" i="294"/>
  <c r="N165" i="14" s="1"/>
  <c r="P4" i="286"/>
  <c r="K9" i="298"/>
  <c r="M4" i="298"/>
  <c r="N4" i="306"/>
  <c r="P4" i="292"/>
  <c r="P163" i="14" s="1"/>
  <c r="M4" i="292"/>
  <c r="K6" i="292"/>
  <c r="P4" i="291"/>
  <c r="P162" i="14" s="1"/>
  <c r="P4" i="305"/>
  <c r="K21" i="305"/>
  <c r="M4" i="305"/>
  <c r="M4" i="311"/>
  <c r="K16" i="311"/>
  <c r="K6" i="295"/>
  <c r="M4" i="295"/>
  <c r="P4" i="288"/>
  <c r="P4" i="285"/>
  <c r="M4" i="285"/>
  <c r="K12" i="285"/>
  <c r="P4" i="308"/>
  <c r="K8" i="288"/>
  <c r="M4" i="288"/>
  <c r="N4" i="191"/>
  <c r="N4" i="272"/>
  <c r="N4" i="229"/>
  <c r="P4" i="227"/>
  <c r="P4" i="256"/>
  <c r="N4" i="240"/>
  <c r="N4" i="235"/>
  <c r="N4" i="249"/>
  <c r="N4" i="228"/>
  <c r="P4" i="258"/>
  <c r="N4" i="286"/>
  <c r="M4" i="303"/>
  <c r="K21" i="303"/>
  <c r="N4" i="296"/>
  <c r="K9" i="282"/>
  <c r="M4" i="282"/>
  <c r="N4" i="282"/>
  <c r="P4" i="287"/>
  <c r="K9" i="279"/>
  <c r="M4" i="279"/>
  <c r="P4" i="289"/>
  <c r="P4" i="194"/>
  <c r="K12" i="250"/>
  <c r="M4" i="250"/>
  <c r="P4" i="241"/>
  <c r="K10" i="264"/>
  <c r="M4" i="264"/>
  <c r="P4" i="243"/>
  <c r="N4" i="227"/>
  <c r="N4" i="262"/>
  <c r="P4" i="260"/>
  <c r="P4" i="231"/>
  <c r="M4" i="245"/>
  <c r="K7" i="245"/>
  <c r="K8" i="240"/>
  <c r="M4" i="240"/>
  <c r="N4" i="266"/>
  <c r="M4" i="276"/>
  <c r="K9" i="276"/>
  <c r="P4" i="277"/>
  <c r="M4" i="254"/>
  <c r="K9" i="254"/>
  <c r="M4" i="275"/>
  <c r="K9" i="275"/>
  <c r="K10" i="255"/>
  <c r="M4" i="255"/>
  <c r="P4" i="232"/>
  <c r="N4" i="232"/>
  <c r="P4" i="185"/>
  <c r="N4" i="194"/>
  <c r="P4" i="272"/>
  <c r="P4" i="278"/>
  <c r="K9" i="274"/>
  <c r="M4" i="274"/>
  <c r="M4" i="260"/>
  <c r="K9" i="260"/>
  <c r="P4" i="253"/>
  <c r="N4" i="231"/>
  <c r="M4" i="247"/>
  <c r="K10" i="247"/>
  <c r="M4" i="256"/>
  <c r="K9" i="256"/>
  <c r="M4" i="239"/>
  <c r="K11" i="239"/>
  <c r="N4" i="277"/>
  <c r="M4" i="249"/>
  <c r="K9" i="249"/>
  <c r="K9" i="259"/>
  <c r="M4" i="259"/>
  <c r="M4" i="251"/>
  <c r="K8" i="251"/>
  <c r="N4" i="166"/>
  <c r="P4" i="263"/>
  <c r="P4" i="245"/>
  <c r="M4" i="269"/>
  <c r="K9" i="269"/>
  <c r="P4" i="235"/>
  <c r="P4" i="265"/>
  <c r="M4" i="230"/>
  <c r="K11" i="230"/>
  <c r="M4" i="241"/>
  <c r="K9" i="241"/>
  <c r="K11" i="238"/>
  <c r="M4" i="238"/>
  <c r="N4" i="238"/>
  <c r="K12" i="267"/>
  <c r="M4" i="267"/>
  <c r="M4" i="237"/>
  <c r="K7" i="237"/>
  <c r="K8" i="227"/>
  <c r="M4" i="227"/>
  <c r="M4" i="268"/>
  <c r="K8" i="268"/>
  <c r="K9" i="253"/>
  <c r="M4" i="253"/>
  <c r="M4" i="231"/>
  <c r="K9" i="231"/>
  <c r="K13" i="270"/>
  <c r="M4" i="270"/>
  <c r="K12" i="235"/>
  <c r="M4" i="235"/>
  <c r="K12" i="266"/>
  <c r="M4" i="266"/>
  <c r="K10" i="233"/>
  <c r="M4" i="233"/>
  <c r="P4" i="236"/>
  <c r="N4" i="258"/>
  <c r="N4" i="251"/>
  <c r="N4" i="259"/>
  <c r="K7" i="229"/>
  <c r="M4" i="229"/>
  <c r="K9" i="258"/>
  <c r="M4" i="258"/>
  <c r="M4" i="272"/>
  <c r="K9" i="272"/>
  <c r="N4" i="241"/>
  <c r="K13" i="263"/>
  <c r="M4" i="263"/>
  <c r="N4" i="243"/>
  <c r="K13" i="246"/>
  <c r="M4" i="246"/>
  <c r="P4" i="247"/>
  <c r="P4" i="270"/>
  <c r="N4" i="256"/>
  <c r="K13" i="248"/>
  <c r="M4" i="248"/>
  <c r="M4" i="252"/>
  <c r="K9" i="252"/>
  <c r="P4" i="226"/>
  <c r="M4" i="265"/>
  <c r="K9" i="265"/>
  <c r="K21" i="228"/>
  <c r="M4" i="228"/>
  <c r="P4" i="254"/>
  <c r="M4" i="244"/>
  <c r="K9" i="244"/>
  <c r="K7" i="242"/>
  <c r="M4" i="242"/>
  <c r="K16" i="232"/>
  <c r="M4" i="232"/>
  <c r="K6" i="225"/>
  <c r="N4" i="271"/>
  <c r="K9" i="278"/>
  <c r="M4" i="278"/>
  <c r="N4" i="263"/>
  <c r="P4" i="246"/>
  <c r="P4" i="273"/>
  <c r="P4" i="248"/>
  <c r="P4" i="276"/>
  <c r="N4" i="252"/>
  <c r="P4" i="257"/>
  <c r="K9" i="257"/>
  <c r="M4" i="257"/>
  <c r="M4" i="226"/>
  <c r="K9" i="226"/>
  <c r="P4" i="261"/>
  <c r="N4" i="275"/>
  <c r="P4" i="255"/>
  <c r="N4" i="244"/>
  <c r="M4" i="277"/>
  <c r="K9" i="277"/>
  <c r="M4" i="271"/>
  <c r="K11" i="271"/>
  <c r="P4" i="271"/>
  <c r="P4" i="238"/>
  <c r="P4" i="264"/>
  <c r="P4" i="237"/>
  <c r="M4" i="243"/>
  <c r="K7" i="243"/>
  <c r="K13" i="262"/>
  <c r="M4" i="262"/>
  <c r="M4" i="273"/>
  <c r="K13" i="273"/>
  <c r="P4" i="269"/>
  <c r="K9" i="234"/>
  <c r="M4" i="234"/>
  <c r="P4" i="266"/>
  <c r="N4" i="276"/>
  <c r="P4" i="239"/>
  <c r="M4" i="261"/>
  <c r="K9" i="261"/>
  <c r="M4" i="236"/>
  <c r="K9" i="236"/>
  <c r="P4" i="230"/>
  <c r="P4" i="165"/>
  <c r="P4" i="188"/>
  <c r="P4" i="190"/>
  <c r="N4" i="180"/>
  <c r="N4" i="188"/>
  <c r="N29" i="14"/>
  <c r="P4" i="179"/>
  <c r="N4" i="181"/>
  <c r="N4" i="173"/>
  <c r="P4" i="186"/>
  <c r="N4" i="199"/>
  <c r="P4" i="191"/>
  <c r="N4" i="197"/>
  <c r="N4" i="187"/>
  <c r="N4" i="189"/>
  <c r="K9" i="190"/>
  <c r="M4" i="190"/>
  <c r="M4" i="196"/>
  <c r="K9" i="196"/>
  <c r="N4" i="196"/>
  <c r="M4" i="197"/>
  <c r="K12" i="197"/>
  <c r="M4" i="191"/>
  <c r="K12" i="191"/>
  <c r="K16" i="187"/>
  <c r="M4" i="187"/>
  <c r="P4" i="187"/>
  <c r="N4" i="193"/>
  <c r="P4" i="199"/>
  <c r="P4" i="195"/>
  <c r="M4" i="189"/>
  <c r="K9" i="189"/>
  <c r="P4" i="168"/>
  <c r="N4" i="171"/>
  <c r="K16" i="193"/>
  <c r="M4" i="193"/>
  <c r="K9" i="199"/>
  <c r="M4" i="199"/>
  <c r="M4" i="188"/>
  <c r="K10" i="188"/>
  <c r="P4" i="189"/>
  <c r="P4" i="192"/>
  <c r="M4" i="186"/>
  <c r="K9" i="186"/>
  <c r="N4" i="195"/>
  <c r="K13" i="195"/>
  <c r="M4" i="195"/>
  <c r="M4" i="194"/>
  <c r="K10" i="194"/>
  <c r="K17" i="192"/>
  <c r="M4" i="192"/>
  <c r="P4" i="176"/>
  <c r="P4" i="197"/>
  <c r="P4" i="193"/>
  <c r="P4" i="196"/>
  <c r="P4" i="171"/>
  <c r="P4" i="159"/>
  <c r="P34" i="14" s="1"/>
  <c r="P4" i="166"/>
  <c r="P4" i="181"/>
  <c r="N4" i="170"/>
  <c r="N4" i="163"/>
  <c r="P4" i="175"/>
  <c r="N4" i="174"/>
  <c r="N4" i="182"/>
  <c r="P4" i="170"/>
  <c r="P4" i="184"/>
  <c r="P4" i="172"/>
  <c r="N4" i="161"/>
  <c r="M4" i="173"/>
  <c r="K8" i="173"/>
  <c r="P4" i="178"/>
  <c r="P4" i="147"/>
  <c r="N4" i="184"/>
  <c r="N4" i="169"/>
  <c r="M4" i="182"/>
  <c r="K9" i="182"/>
  <c r="N4" i="165"/>
  <c r="M4" i="165"/>
  <c r="K12" i="165"/>
  <c r="N4" i="172"/>
  <c r="M4" i="171"/>
  <c r="K9" i="171"/>
  <c r="P4" i="183"/>
  <c r="N4" i="164"/>
  <c r="M4" i="166"/>
  <c r="K8" i="166"/>
  <c r="P4" i="174"/>
  <c r="N4" i="147"/>
  <c r="M4" i="147"/>
  <c r="P4" i="160"/>
  <c r="P35" i="14" s="1"/>
  <c r="P4" i="163"/>
  <c r="K10" i="180"/>
  <c r="M4" i="180"/>
  <c r="N4" i="179"/>
  <c r="N4" i="176"/>
  <c r="N4" i="183"/>
  <c r="N4" i="162"/>
  <c r="M4" i="168"/>
  <c r="K13" i="168"/>
  <c r="M4" i="181"/>
  <c r="K13" i="181"/>
  <c r="M4" i="170"/>
  <c r="K13" i="170"/>
  <c r="P4" i="158"/>
  <c r="K9" i="167"/>
  <c r="M4" i="167"/>
  <c r="P4" i="173"/>
  <c r="P4" i="182"/>
  <c r="K10" i="169"/>
  <c r="M4" i="169"/>
  <c r="P4" i="180"/>
  <c r="M4" i="179"/>
  <c r="K13" i="179"/>
  <c r="K8" i="184"/>
  <c r="M4" i="184"/>
  <c r="M4" i="175"/>
  <c r="K9" i="175"/>
  <c r="P4" i="167"/>
  <c r="K9" i="176"/>
  <c r="M4" i="176"/>
  <c r="N4" i="175"/>
  <c r="N4" i="167"/>
  <c r="M4" i="178"/>
  <c r="K9" i="178"/>
  <c r="P4" i="169"/>
  <c r="M4" i="174"/>
  <c r="K9" i="174"/>
  <c r="K12" i="172"/>
  <c r="M4" i="172"/>
  <c r="M4" i="183"/>
  <c r="K12" i="183"/>
  <c r="K9" i="164"/>
  <c r="M4" i="164"/>
  <c r="K6" i="160"/>
  <c r="M4" i="160"/>
  <c r="M35" i="14" s="1"/>
  <c r="N4" i="159"/>
  <c r="N34" i="14" s="1"/>
  <c r="P4" i="164"/>
  <c r="N4" i="149"/>
  <c r="M4" i="163"/>
  <c r="K13" i="163"/>
  <c r="M4" i="158"/>
  <c r="K6" i="158"/>
  <c r="P4" i="162"/>
  <c r="K13" i="161"/>
  <c r="M4" i="161"/>
  <c r="M4" i="159"/>
  <c r="M34" i="14" s="1"/>
  <c r="K6" i="159"/>
  <c r="P4" i="161"/>
  <c r="N4" i="160"/>
  <c r="N35" i="14" s="1"/>
  <c r="M4" i="162"/>
  <c r="K10" i="162"/>
  <c r="N4" i="150"/>
  <c r="N4" i="151"/>
  <c r="K21" i="156"/>
  <c r="M4" i="156"/>
  <c r="P4" i="153"/>
  <c r="P4" i="156"/>
  <c r="N4" i="153"/>
  <c r="P29" i="14"/>
  <c r="K12" i="152"/>
  <c r="M4" i="152"/>
  <c r="M4" i="151"/>
  <c r="K12" i="151"/>
  <c r="M4" i="153"/>
  <c r="M29" i="14"/>
  <c r="N4" i="146"/>
  <c r="P4" i="151"/>
  <c r="P4" i="152"/>
  <c r="N4" i="152"/>
  <c r="M4" i="149"/>
  <c r="K6" i="149"/>
  <c r="P4" i="149"/>
  <c r="K9" i="150"/>
  <c r="M4" i="150"/>
  <c r="M4" i="148"/>
  <c r="P4" i="146"/>
  <c r="P4" i="150"/>
  <c r="P4" i="148"/>
  <c r="K15" i="147"/>
  <c r="K9" i="146"/>
  <c r="M4" i="146"/>
  <c r="I129" i="14"/>
  <c r="N4" i="148" l="1"/>
  <c r="N20" i="14" s="1"/>
  <c r="K18" i="148"/>
  <c r="M26" i="14"/>
  <c r="M61" i="14"/>
  <c r="N49" i="14"/>
  <c r="N74" i="14"/>
  <c r="N60" i="14"/>
  <c r="P139" i="14"/>
  <c r="P125" i="14"/>
  <c r="N119" i="14"/>
  <c r="P147" i="14"/>
  <c r="Q147" i="14" s="1"/>
  <c r="S147" i="14" s="1"/>
  <c r="P97" i="14"/>
  <c r="N173" i="14"/>
  <c r="N159" i="14"/>
  <c r="M30" i="14"/>
  <c r="P52" i="14"/>
  <c r="M62" i="14"/>
  <c r="M72" i="14"/>
  <c r="N79" i="14"/>
  <c r="P96" i="14"/>
  <c r="P138" i="14"/>
  <c r="N84" i="14"/>
  <c r="P156" i="14"/>
  <c r="P175" i="14"/>
  <c r="N90" i="14"/>
  <c r="N27" i="14"/>
  <c r="N157" i="14"/>
  <c r="P23" i="14"/>
  <c r="M63" i="14"/>
  <c r="M47" i="14"/>
  <c r="P64" i="14"/>
  <c r="N50" i="14"/>
  <c r="P65" i="14"/>
  <c r="P92" i="14"/>
  <c r="N75" i="14"/>
  <c r="P121" i="14"/>
  <c r="P158" i="14"/>
  <c r="N85" i="14"/>
  <c r="P149" i="14"/>
  <c r="N158" i="14"/>
  <c r="O27" i="14"/>
  <c r="N134" i="14"/>
  <c r="P18" i="14"/>
  <c r="N24" i="14"/>
  <c r="P42" i="14"/>
  <c r="M19" i="14"/>
  <c r="N64" i="14"/>
  <c r="P69" i="14"/>
  <c r="P43" i="14"/>
  <c r="M120" i="14"/>
  <c r="P130" i="14"/>
  <c r="P111" i="14"/>
  <c r="P98" i="14"/>
  <c r="N71" i="14"/>
  <c r="P151" i="14"/>
  <c r="N152" i="14"/>
  <c r="N102" i="14"/>
  <c r="N131" i="14"/>
  <c r="N117" i="14"/>
  <c r="P25" i="14"/>
  <c r="M55" i="14"/>
  <c r="P33" i="14"/>
  <c r="P19" i="14"/>
  <c r="P50" i="14"/>
  <c r="M147" i="14"/>
  <c r="N44" i="14"/>
  <c r="P146" i="14"/>
  <c r="M151" i="14"/>
  <c r="N125" i="14"/>
  <c r="P180" i="14"/>
  <c r="N183" i="14"/>
  <c r="N115" i="14"/>
  <c r="N30" i="14"/>
  <c r="H20" i="14"/>
  <c r="I18" i="313"/>
  <c r="M20" i="14"/>
  <c r="P24" i="14"/>
  <c r="P40" i="14"/>
  <c r="P60" i="14"/>
  <c r="N55" i="14"/>
  <c r="P53" i="14"/>
  <c r="P57" i="14"/>
  <c r="N53" i="14"/>
  <c r="P77" i="14"/>
  <c r="M76" i="14"/>
  <c r="M68" i="14"/>
  <c r="M69" i="14"/>
  <c r="N69" i="14"/>
  <c r="P59" i="14"/>
  <c r="P93" i="14"/>
  <c r="N101" i="14"/>
  <c r="P120" i="14"/>
  <c r="M101" i="14"/>
  <c r="N100" i="14"/>
  <c r="M84" i="14"/>
  <c r="M133" i="14"/>
  <c r="M111" i="14"/>
  <c r="M85" i="14"/>
  <c r="M96" i="14"/>
  <c r="P88" i="14"/>
  <c r="P124" i="14"/>
  <c r="N91" i="14"/>
  <c r="N111" i="14"/>
  <c r="N96" i="14"/>
  <c r="N143" i="14"/>
  <c r="N155" i="14"/>
  <c r="M150" i="14"/>
  <c r="M175" i="14"/>
  <c r="Q175" i="14" s="1"/>
  <c r="S175" i="14" s="1"/>
  <c r="M189" i="14"/>
  <c r="P99" i="14"/>
  <c r="N147" i="14"/>
  <c r="P160" i="14"/>
  <c r="P134" i="14"/>
  <c r="N180" i="14"/>
  <c r="N135" i="14"/>
  <c r="N160" i="14"/>
  <c r="P32" i="14"/>
  <c r="O33" i="14"/>
  <c r="P39" i="14"/>
  <c r="P62" i="14"/>
  <c r="N39" i="14"/>
  <c r="P55" i="14"/>
  <c r="N77" i="14"/>
  <c r="N109" i="14"/>
  <c r="P81" i="14"/>
  <c r="P122" i="14"/>
  <c r="M159" i="14"/>
  <c r="P89" i="14"/>
  <c r="N106" i="14"/>
  <c r="M41" i="14"/>
  <c r="M64" i="14"/>
  <c r="P63" i="14"/>
  <c r="P51" i="14"/>
  <c r="P67" i="14"/>
  <c r="P70" i="14"/>
  <c r="P141" i="14"/>
  <c r="M138" i="14"/>
  <c r="M105" i="14"/>
  <c r="P183" i="14"/>
  <c r="N99" i="14"/>
  <c r="P167" i="14"/>
  <c r="N182" i="14"/>
  <c r="N108" i="14"/>
  <c r="P190" i="14"/>
  <c r="M21" i="14"/>
  <c r="N45" i="14"/>
  <c r="M45" i="14"/>
  <c r="P44" i="14"/>
  <c r="M67" i="14"/>
  <c r="P68" i="14"/>
  <c r="P104" i="14"/>
  <c r="P102" i="14"/>
  <c r="N86" i="14"/>
  <c r="N140" i="14"/>
  <c r="P143" i="14"/>
  <c r="P192" i="14"/>
  <c r="N191" i="14"/>
  <c r="N153" i="14"/>
  <c r="P191" i="14"/>
  <c r="M25" i="14"/>
  <c r="M51" i="14"/>
  <c r="N40" i="14"/>
  <c r="M50" i="14"/>
  <c r="P47" i="14"/>
  <c r="N52" i="14"/>
  <c r="N130" i="14"/>
  <c r="Q130" i="14" s="1"/>
  <c r="S130" i="14" s="1"/>
  <c r="M104" i="14"/>
  <c r="M102" i="14"/>
  <c r="N151" i="14"/>
  <c r="P109" i="14"/>
  <c r="N93" i="14"/>
  <c r="N175" i="14"/>
  <c r="N92" i="14"/>
  <c r="M56" i="14"/>
  <c r="N23" i="14"/>
  <c r="M59" i="14"/>
  <c r="N19" i="14"/>
  <c r="N62" i="14"/>
  <c r="N61" i="14"/>
  <c r="M86" i="14"/>
  <c r="N88" i="14"/>
  <c r="P86" i="14"/>
  <c r="N107" i="14"/>
  <c r="M167" i="14"/>
  <c r="N124" i="14"/>
  <c r="M92" i="14"/>
  <c r="P136" i="14"/>
  <c r="P131" i="14"/>
  <c r="P117" i="14"/>
  <c r="N110" i="14"/>
  <c r="N139" i="14"/>
  <c r="P115" i="14"/>
  <c r="M106" i="14"/>
  <c r="M130" i="14"/>
  <c r="P132" i="14"/>
  <c r="M109" i="14"/>
  <c r="M117" i="14"/>
  <c r="M145" i="14"/>
  <c r="N129" i="14"/>
  <c r="P75" i="14"/>
  <c r="N167" i="14"/>
  <c r="N97" i="14"/>
  <c r="P189" i="14"/>
  <c r="N184" i="14"/>
  <c r="Q184" i="14" s="1"/>
  <c r="S184" i="14" s="1"/>
  <c r="M156" i="14"/>
  <c r="N120" i="14"/>
  <c r="M157" i="14"/>
  <c r="N192" i="14"/>
  <c r="N89" i="14"/>
  <c r="P101" i="14"/>
  <c r="P108" i="14"/>
  <c r="N185" i="14"/>
  <c r="N47" i="14"/>
  <c r="P171" i="14"/>
  <c r="N149" i="14"/>
  <c r="O185" i="14"/>
  <c r="P21" i="14"/>
  <c r="P26" i="14"/>
  <c r="M54" i="14"/>
  <c r="N42" i="14"/>
  <c r="M74" i="14"/>
  <c r="P71" i="14"/>
  <c r="M141" i="14"/>
  <c r="P106" i="14"/>
  <c r="N98" i="14"/>
  <c r="P100" i="14"/>
  <c r="P150" i="14"/>
  <c r="P181" i="14"/>
  <c r="N70" i="14"/>
  <c r="N172" i="14"/>
  <c r="P20" i="14"/>
  <c r="M57" i="14"/>
  <c r="P41" i="14"/>
  <c r="P61" i="14"/>
  <c r="M65" i="14"/>
  <c r="N121" i="14"/>
  <c r="P140" i="14"/>
  <c r="N156" i="14"/>
  <c r="P155" i="14"/>
  <c r="N104" i="14"/>
  <c r="P185" i="14"/>
  <c r="P153" i="14"/>
  <c r="N171" i="14"/>
  <c r="M24" i="14"/>
  <c r="N21" i="14"/>
  <c r="N48" i="14"/>
  <c r="P72" i="14"/>
  <c r="M77" i="14"/>
  <c r="N145" i="14"/>
  <c r="Q145" i="14" s="1"/>
  <c r="S145" i="14" s="1"/>
  <c r="M80" i="14"/>
  <c r="M99" i="14"/>
  <c r="P105" i="14"/>
  <c r="P157" i="14"/>
  <c r="M184" i="14"/>
  <c r="N150" i="14"/>
  <c r="N138" i="14"/>
  <c r="N148" i="14"/>
  <c r="N141" i="14"/>
  <c r="N25" i="14"/>
  <c r="M39" i="14"/>
  <c r="N54" i="14"/>
  <c r="P49" i="14"/>
  <c r="M70" i="14"/>
  <c r="P133" i="14"/>
  <c r="P80" i="14"/>
  <c r="M121" i="14"/>
  <c r="N146" i="14"/>
  <c r="M115" i="14"/>
  <c r="N83" i="14"/>
  <c r="P107" i="14"/>
  <c r="P152" i="14"/>
  <c r="N65" i="14"/>
  <c r="N181" i="14"/>
  <c r="N63" i="14"/>
  <c r="N51" i="14"/>
  <c r="P85" i="14"/>
  <c r="M100" i="14"/>
  <c r="M93" i="14"/>
  <c r="P83" i="14"/>
  <c r="P84" i="14"/>
  <c r="P90" i="14"/>
  <c r="P148" i="14"/>
  <c r="P135" i="14"/>
  <c r="M18" i="14"/>
  <c r="M23" i="14"/>
  <c r="N18" i="14"/>
  <c r="N26" i="14"/>
  <c r="M40" i="14"/>
  <c r="P45" i="14"/>
  <c r="M48" i="14"/>
  <c r="M49" i="14"/>
  <c r="N59" i="14"/>
  <c r="M43" i="14"/>
  <c r="P54" i="14"/>
  <c r="P74" i="14"/>
  <c r="P76" i="14"/>
  <c r="N67" i="14"/>
  <c r="P30" i="14"/>
  <c r="M33" i="14"/>
  <c r="M42" i="14"/>
  <c r="P48" i="14"/>
  <c r="M60" i="14"/>
  <c r="M44" i="14"/>
  <c r="N43" i="14"/>
  <c r="M52" i="14"/>
  <c r="N41" i="14"/>
  <c r="P78" i="14"/>
  <c r="N76" i="14"/>
  <c r="Q76" i="14" s="1"/>
  <c r="S76" i="14" s="1"/>
  <c r="P79" i="14"/>
  <c r="M78" i="14"/>
  <c r="Q78" i="14" s="1"/>
  <c r="S78" i="14" s="1"/>
  <c r="N78" i="14"/>
  <c r="N68" i="14"/>
  <c r="P95" i="14"/>
  <c r="N144" i="14"/>
  <c r="P145" i="14"/>
  <c r="M83" i="14"/>
  <c r="N122" i="14"/>
  <c r="N95" i="14"/>
  <c r="P91" i="14"/>
  <c r="M122" i="14"/>
  <c r="M119" i="14"/>
  <c r="N133" i="14"/>
  <c r="Q133" i="14" s="1"/>
  <c r="S133" i="14" s="1"/>
  <c r="N81" i="14"/>
  <c r="P159" i="14"/>
  <c r="P119" i="14"/>
  <c r="N72" i="14"/>
  <c r="P110" i="14"/>
  <c r="N190" i="14"/>
  <c r="N105" i="14"/>
  <c r="P172" i="14"/>
  <c r="N80" i="14"/>
  <c r="P129" i="14"/>
  <c r="P173" i="14"/>
  <c r="N189" i="14"/>
  <c r="P182" i="14"/>
  <c r="M27" i="14"/>
  <c r="P184" i="14"/>
  <c r="O25" i="14"/>
  <c r="Q4" i="225"/>
  <c r="P4" i="154"/>
  <c r="Q165" i="14"/>
  <c r="S165" i="14" s="1"/>
  <c r="Q141" i="14"/>
  <c r="S141" i="14" s="1"/>
  <c r="K9" i="154"/>
  <c r="Q162" i="14"/>
  <c r="S162" i="14" s="1"/>
  <c r="Q151" i="14"/>
  <c r="S151" i="14" s="1"/>
  <c r="Q4" i="191"/>
  <c r="M71" i="14"/>
  <c r="Q4" i="194"/>
  <c r="M75" i="14"/>
  <c r="Q4" i="234"/>
  <c r="M90" i="14"/>
  <c r="Q4" i="277"/>
  <c r="M146" i="14"/>
  <c r="Q4" i="233"/>
  <c r="M89" i="14"/>
  <c r="Q4" i="241"/>
  <c r="M98" i="14"/>
  <c r="Q4" i="185"/>
  <c r="P56" i="14"/>
  <c r="Q4" i="295"/>
  <c r="M166" i="14"/>
  <c r="Q166" i="14" s="1"/>
  <c r="S166" i="14" s="1"/>
  <c r="Q4" i="301"/>
  <c r="M176" i="14"/>
  <c r="Q176" i="14" s="1"/>
  <c r="S176" i="14" s="1"/>
  <c r="Q4" i="174"/>
  <c r="M53" i="14"/>
  <c r="Q4" i="252"/>
  <c r="M110" i="14"/>
  <c r="Q4" i="199"/>
  <c r="M79" i="14"/>
  <c r="Q4" i="267"/>
  <c r="M134" i="14"/>
  <c r="Q4" i="260"/>
  <c r="M124" i="14"/>
  <c r="Q4" i="299"/>
  <c r="M173" i="14"/>
  <c r="Q4" i="274"/>
  <c r="M143" i="14"/>
  <c r="Q4" i="311"/>
  <c r="M192" i="14"/>
  <c r="Q192" i="14" s="1"/>
  <c r="S192" i="14" s="1"/>
  <c r="Q4" i="310"/>
  <c r="M191" i="14"/>
  <c r="Q191" i="14" s="1"/>
  <c r="S191" i="14" s="1"/>
  <c r="Q4" i="290"/>
  <c r="M160" i="14"/>
  <c r="Q160" i="14" s="1"/>
  <c r="S160" i="14" s="1"/>
  <c r="Q4" i="293"/>
  <c r="M164" i="14"/>
  <c r="Q164" i="14" s="1"/>
  <c r="S164" i="14" s="1"/>
  <c r="Q4" i="261"/>
  <c r="M125" i="14"/>
  <c r="Q4" i="232"/>
  <c r="M88" i="14"/>
  <c r="Q4" i="235"/>
  <c r="M91" i="14"/>
  <c r="Q4" i="305"/>
  <c r="M183" i="14"/>
  <c r="Q4" i="298"/>
  <c r="M172" i="14"/>
  <c r="Q4" i="288"/>
  <c r="M158" i="14"/>
  <c r="Q158" i="14" s="1"/>
  <c r="S158" i="14" s="1"/>
  <c r="Q4" i="262"/>
  <c r="M129" i="14"/>
  <c r="Q4" i="268"/>
  <c r="M135" i="14"/>
  <c r="Q4" i="238"/>
  <c r="M95" i="14"/>
  <c r="Q4" i="240"/>
  <c r="M97" i="14"/>
  <c r="Q4" i="279"/>
  <c r="M148" i="14"/>
  <c r="Q148" i="14" s="1"/>
  <c r="S148" i="14" s="1"/>
  <c r="Q4" i="303"/>
  <c r="M181" i="14"/>
  <c r="Q4" i="285"/>
  <c r="M155" i="14"/>
  <c r="Q4" i="297"/>
  <c r="M171" i="14"/>
  <c r="Q4" i="250"/>
  <c r="M108" i="14"/>
  <c r="Q4" i="271"/>
  <c r="M139" i="14"/>
  <c r="Q4" i="265"/>
  <c r="M132" i="14"/>
  <c r="Q4" i="272"/>
  <c r="M140" i="14"/>
  <c r="Q140" i="14" s="1"/>
  <c r="S140" i="14" s="1"/>
  <c r="Q4" i="227"/>
  <c r="M81" i="14"/>
  <c r="Q4" i="269"/>
  <c r="M136" i="14"/>
  <c r="Q136" i="14" s="1"/>
  <c r="S136" i="14" s="1"/>
  <c r="Q4" i="275"/>
  <c r="M144" i="14"/>
  <c r="Q4" i="264"/>
  <c r="M131" i="14"/>
  <c r="Q4" i="280"/>
  <c r="M149" i="14"/>
  <c r="Q4" i="309"/>
  <c r="M190" i="14"/>
  <c r="Q4" i="307"/>
  <c r="M185" i="14"/>
  <c r="Q4" i="284"/>
  <c r="M153" i="14"/>
  <c r="Q153" i="14" s="1"/>
  <c r="S153" i="14" s="1"/>
  <c r="Q4" i="292"/>
  <c r="M163" i="14"/>
  <c r="Q163" i="14" s="1"/>
  <c r="S163" i="14" s="1"/>
  <c r="Q4" i="249"/>
  <c r="M107" i="14"/>
  <c r="Q4" i="283"/>
  <c r="M152" i="14"/>
  <c r="Q152" i="14" s="1"/>
  <c r="S152" i="14" s="1"/>
  <c r="Q4" i="304"/>
  <c r="M182" i="14"/>
  <c r="Q182" i="14" s="1"/>
  <c r="S182" i="14" s="1"/>
  <c r="Q4" i="302"/>
  <c r="M180" i="14"/>
  <c r="Q4" i="296"/>
  <c r="Q4" i="226"/>
  <c r="Q4" i="242"/>
  <c r="Q4" i="289"/>
  <c r="Q4" i="294"/>
  <c r="Q4" i="291"/>
  <c r="Q4" i="300"/>
  <c r="Q4" i="308"/>
  <c r="Q4" i="306"/>
  <c r="Q4" i="286"/>
  <c r="Q4" i="281"/>
  <c r="Q4" i="181"/>
  <c r="Q4" i="236"/>
  <c r="Q4" i="229"/>
  <c r="Q4" i="287"/>
  <c r="Q4" i="228"/>
  <c r="Q4" i="282"/>
  <c r="Q4" i="270"/>
  <c r="Q4" i="186"/>
  <c r="Q4" i="273"/>
  <c r="Q4" i="259"/>
  <c r="Q4" i="256"/>
  <c r="Q4" i="257"/>
  <c r="Q4" i="246"/>
  <c r="Q4" i="247"/>
  <c r="Q4" i="243"/>
  <c r="Q4" i="278"/>
  <c r="Q4" i="258"/>
  <c r="Q4" i="254"/>
  <c r="Q4" i="245"/>
  <c r="Q4" i="231"/>
  <c r="Q4" i="237"/>
  <c r="Q4" i="248"/>
  <c r="Q4" i="263"/>
  <c r="Q4" i="266"/>
  <c r="Q4" i="253"/>
  <c r="Q4" i="230"/>
  <c r="Q4" i="239"/>
  <c r="Q4" i="244"/>
  <c r="Q4" i="178"/>
  <c r="Q4" i="251"/>
  <c r="Q4" i="255"/>
  <c r="Q4" i="276"/>
  <c r="Q4" i="188"/>
  <c r="Q4" i="189"/>
  <c r="Q4" i="190"/>
  <c r="Q4" i="168"/>
  <c r="Q4" i="192"/>
  <c r="Q4" i="195"/>
  <c r="Q4" i="171"/>
  <c r="Q4" i="196"/>
  <c r="Q4" i="175"/>
  <c r="Q4" i="166"/>
  <c r="Q4" i="193"/>
  <c r="Q4" i="197"/>
  <c r="Q4" i="187"/>
  <c r="Q4" i="170"/>
  <c r="Q4" i="147"/>
  <c r="Q4" i="161"/>
  <c r="Q4" i="163"/>
  <c r="Q4" i="183"/>
  <c r="Q4" i="182"/>
  <c r="Q4" i="184"/>
  <c r="Q4" i="172"/>
  <c r="Q4" i="180"/>
  <c r="Q4" i="165"/>
  <c r="Q4" i="169"/>
  <c r="Q4" i="167"/>
  <c r="Q4" i="173"/>
  <c r="Q4" i="158"/>
  <c r="Q4" i="176"/>
  <c r="Q4" i="179"/>
  <c r="Q4" i="156"/>
  <c r="Q4" i="162"/>
  <c r="Q4" i="160"/>
  <c r="Q4" i="148"/>
  <c r="Q4" i="164"/>
  <c r="Q4" i="159"/>
  <c r="Q4" i="151"/>
  <c r="Q4" i="152"/>
  <c r="Q4" i="146"/>
  <c r="Q4" i="150"/>
  <c r="Q4" i="155"/>
  <c r="Q4" i="149"/>
  <c r="Q138" i="14"/>
  <c r="Q156" i="14" l="1"/>
  <c r="S156" i="14" s="1"/>
  <c r="Q171" i="14"/>
  <c r="Q77" i="14"/>
  <c r="S77" i="14" s="1"/>
  <c r="Q129" i="14"/>
  <c r="Q80" i="14"/>
  <c r="S80" i="14" s="1"/>
  <c r="Q159" i="14"/>
  <c r="S159" i="14" s="1"/>
  <c r="Q115" i="14"/>
  <c r="S115" i="14" s="1"/>
  <c r="Q167" i="14"/>
  <c r="S167" i="14" s="1"/>
  <c r="Q150" i="14"/>
  <c r="S150" i="14" s="1"/>
  <c r="Q157" i="14"/>
  <c r="S157" i="14" s="1"/>
  <c r="Q131" i="14"/>
  <c r="S131" i="14" s="1"/>
  <c r="Q139" i="14"/>
  <c r="S139" i="14" s="1"/>
  <c r="Q189" i="14"/>
  <c r="S189" i="14" s="1"/>
  <c r="Q144" i="14"/>
  <c r="S144" i="14" s="1"/>
  <c r="P27" i="14"/>
  <c r="Q75" i="14"/>
  <c r="S75" i="14" s="1"/>
  <c r="Q190" i="14"/>
  <c r="S190" i="14" s="1"/>
  <c r="Q172" i="14"/>
  <c r="S172" i="14" s="1"/>
  <c r="Q134" i="14"/>
  <c r="S134" i="14" s="1"/>
  <c r="Q180" i="14"/>
  <c r="Q149" i="14"/>
  <c r="S149" i="14" s="1"/>
  <c r="Q81" i="14"/>
  <c r="S81" i="14" s="1"/>
  <c r="Q181" i="14"/>
  <c r="S181" i="14" s="1"/>
  <c r="Q135" i="14"/>
  <c r="S135" i="14" s="1"/>
  <c r="Q183" i="14"/>
  <c r="S183" i="14" s="1"/>
  <c r="Q143" i="14"/>
  <c r="S143" i="14" s="1"/>
  <c r="Q173" i="14"/>
  <c r="S173" i="14" s="1"/>
  <c r="Q155" i="14"/>
  <c r="S155" i="14" s="1"/>
  <c r="Q79" i="14"/>
  <c r="S79" i="14" s="1"/>
  <c r="Q146" i="14"/>
  <c r="S146" i="14" s="1"/>
  <c r="Q132" i="14"/>
  <c r="S132" i="14" s="1"/>
  <c r="Q4" i="154"/>
  <c r="G7" i="153"/>
  <c r="Q187" i="14"/>
  <c r="Q106" i="14"/>
  <c r="S106" i="14" s="1"/>
  <c r="Q89" i="14"/>
  <c r="S89" i="14" s="1"/>
  <c r="Q105" i="14"/>
  <c r="S105" i="14" s="1"/>
  <c r="Q61" i="14"/>
  <c r="S61" i="14" s="1"/>
  <c r="Q49" i="14"/>
  <c r="S49" i="14" s="1"/>
  <c r="Q85" i="14"/>
  <c r="S85" i="14" s="1"/>
  <c r="Q48" i="14"/>
  <c r="S48" i="14" s="1"/>
  <c r="Q101" i="14"/>
  <c r="S101" i="14" s="1"/>
  <c r="Q60" i="14"/>
  <c r="S60" i="14" s="1"/>
  <c r="Q102" i="14"/>
  <c r="S102" i="14" s="1"/>
  <c r="Q111" i="14"/>
  <c r="S111" i="14" s="1"/>
  <c r="Q93" i="14"/>
  <c r="S93" i="14" s="1"/>
  <c r="Q86" i="14"/>
  <c r="S86" i="14" s="1"/>
  <c r="Q68" i="14"/>
  <c r="S68" i="14" s="1"/>
  <c r="Q72" i="14"/>
  <c r="S72" i="14" s="1"/>
  <c r="Q40" i="14"/>
  <c r="Q41" i="14"/>
  <c r="S41" i="14" s="1"/>
  <c r="I39" i="14"/>
  <c r="I40" i="14"/>
  <c r="S180" i="14" l="1"/>
  <c r="Q178" i="14"/>
  <c r="S171" i="14"/>
  <c r="Q169" i="14"/>
  <c r="S129" i="14"/>
  <c r="Q127" i="14"/>
  <c r="K7" i="153"/>
  <c r="O4" i="153"/>
  <c r="G4" i="153"/>
  <c r="H7" i="153"/>
  <c r="H4" i="153" s="1"/>
  <c r="Q125" i="14"/>
  <c r="S125" i="14" s="1"/>
  <c r="Q124" i="14"/>
  <c r="S124" i="14" s="1"/>
  <c r="Q120" i="14"/>
  <c r="S120" i="14" s="1"/>
  <c r="Q119" i="14"/>
  <c r="S119" i="14" s="1"/>
  <c r="Q121" i="14"/>
  <c r="S121" i="14" s="1"/>
  <c r="Q122" i="14"/>
  <c r="S122" i="14" s="1"/>
  <c r="Q98" i="14"/>
  <c r="S98" i="14" s="1"/>
  <c r="Q96" i="14"/>
  <c r="S96" i="14" s="1"/>
  <c r="Q99" i="14"/>
  <c r="S99" i="14" s="1"/>
  <c r="Q104" i="14"/>
  <c r="S104" i="14" s="1"/>
  <c r="Q97" i="14"/>
  <c r="S97" i="14" s="1"/>
  <c r="Q100" i="14"/>
  <c r="S100" i="14" s="1"/>
  <c r="Q88" i="14"/>
  <c r="S88" i="14" s="1"/>
  <c r="Q84" i="14"/>
  <c r="S84" i="14" s="1"/>
  <c r="Q59" i="14"/>
  <c r="S59" i="14" s="1"/>
  <c r="Q47" i="14"/>
  <c r="S47" i="14" s="1"/>
  <c r="Q95" i="14"/>
  <c r="S95" i="14" s="1"/>
  <c r="Q74" i="14"/>
  <c r="S74" i="14" s="1"/>
  <c r="Q83" i="14"/>
  <c r="S83" i="14" s="1"/>
  <c r="Q67" i="14"/>
  <c r="S67" i="14" s="1"/>
  <c r="Q39" i="14"/>
  <c r="S40" i="14"/>
  <c r="Q117" i="14"/>
  <c r="I117" i="14"/>
  <c r="I113" i="14" s="1"/>
  <c r="I138" i="14"/>
  <c r="S39" i="14" l="1"/>
  <c r="H26" i="14"/>
  <c r="I26" i="14" s="1"/>
  <c r="O26" i="14"/>
  <c r="Q4" i="153"/>
  <c r="S138" i="14"/>
  <c r="I127" i="14"/>
  <c r="S117" i="14"/>
  <c r="Q113" i="14"/>
  <c r="Q25" i="14" l="1"/>
  <c r="S25" i="14" s="1"/>
  <c r="Q20" i="14" l="1"/>
  <c r="I20" i="14" l="1"/>
  <c r="S20" i="14" s="1"/>
  <c r="I21" i="14" l="1"/>
  <c r="Q26" i="14" l="1"/>
  <c r="S26" i="14" s="1"/>
  <c r="Q27" i="14"/>
  <c r="S27" i="14" s="1"/>
  <c r="Q21" i="14"/>
  <c r="S21" i="14" s="1"/>
  <c r="Q108" i="14" l="1"/>
  <c r="S108" i="14" s="1"/>
  <c r="Q107" i="14"/>
  <c r="S107" i="14" s="1"/>
  <c r="Q109" i="14"/>
  <c r="S109" i="14" s="1"/>
  <c r="Q110" i="14"/>
  <c r="S110" i="14" s="1"/>
  <c r="Q91" i="14"/>
  <c r="S91" i="14" s="1"/>
  <c r="Q92" i="14"/>
  <c r="S92" i="14" s="1"/>
  <c r="Q90" i="14"/>
  <c r="S90" i="14" s="1"/>
  <c r="Q70" i="14"/>
  <c r="S70" i="14" s="1"/>
  <c r="Q71" i="14"/>
  <c r="S71" i="14" s="1"/>
  <c r="Q69" i="14"/>
  <c r="S69" i="14" s="1"/>
  <c r="Q64" i="14"/>
  <c r="S64" i="14" s="1"/>
  <c r="Q53" i="14"/>
  <c r="S53" i="14" s="1"/>
  <c r="Q54" i="14"/>
  <c r="S54" i="14" s="1"/>
  <c r="Q51" i="14"/>
  <c r="S51" i="14" s="1"/>
  <c r="Q65" i="14"/>
  <c r="S65" i="14" s="1"/>
  <c r="Q55" i="14"/>
  <c r="S55" i="14" s="1"/>
  <c r="Q56" i="14"/>
  <c r="S56" i="14" s="1"/>
  <c r="Q63" i="14"/>
  <c r="S63" i="14" s="1"/>
  <c r="Q50" i="14"/>
  <c r="S50" i="14" s="1"/>
  <c r="Q62" i="14"/>
  <c r="S62" i="14" s="1"/>
  <c r="Q52" i="14"/>
  <c r="S52" i="14" s="1"/>
  <c r="Q57" i="14"/>
  <c r="S57" i="14" s="1"/>
  <c r="Q45" i="14"/>
  <c r="S45" i="14" s="1"/>
  <c r="Q43" i="14"/>
  <c r="S43" i="14" s="1"/>
  <c r="Q44" i="14"/>
  <c r="S44" i="14" s="1"/>
  <c r="Q42" i="14"/>
  <c r="Q37" i="14" l="1"/>
  <c r="I42" i="14"/>
  <c r="I37" i="14" s="1"/>
  <c r="S42" i="14" l="1"/>
  <c r="J6" i="22" l="1"/>
  <c r="J8" i="22"/>
  <c r="J5" i="22"/>
  <c r="O4" i="22"/>
  <c r="O16" i="14" l="1"/>
  <c r="O194" i="14" s="1"/>
  <c r="K8" i="22"/>
  <c r="N4" i="22"/>
  <c r="K6" i="22"/>
  <c r="N16" i="14" l="1"/>
  <c r="N194" i="14" s="1"/>
  <c r="T4" i="14"/>
  <c r="S15" i="14"/>
  <c r="K5" i="22"/>
  <c r="P4" i="22" s="1"/>
  <c r="P16" i="14" l="1"/>
  <c r="P194" i="14" s="1"/>
  <c r="T3" i="14"/>
  <c r="G9" i="22"/>
  <c r="G4" i="22" s="1"/>
  <c r="K9" i="22"/>
  <c r="M4" i="22"/>
  <c r="M16" i="14" l="1"/>
  <c r="H16" i="14"/>
  <c r="I16" i="14" s="1"/>
  <c r="I15" i="313"/>
  <c r="I14" i="313" s="1"/>
  <c r="I59" i="313" s="1"/>
  <c r="T2" i="14"/>
  <c r="I18" i="14"/>
  <c r="I35" i="14"/>
  <c r="I30" i="14"/>
  <c r="I29" i="14"/>
  <c r="I24" i="14"/>
  <c r="I33" i="14"/>
  <c r="I23" i="14"/>
  <c r="I34" i="14"/>
  <c r="I32" i="14"/>
  <c r="I19" i="14"/>
  <c r="Q34" i="14"/>
  <c r="Q35" i="14"/>
  <c r="Q30" i="14"/>
  <c r="Q32" i="14"/>
  <c r="Q33" i="14"/>
  <c r="Q29" i="14"/>
  <c r="Q19" i="14"/>
  <c r="Q24" i="14"/>
  <c r="Q23" i="14"/>
  <c r="T5" i="14"/>
  <c r="Q4" i="22"/>
  <c r="H9" i="22"/>
  <c r="H4" i="22" s="1"/>
  <c r="Q16" i="14" l="1"/>
  <c r="S16" i="14" s="1"/>
  <c r="M194" i="14"/>
  <c r="Q194" i="14" s="1"/>
  <c r="I196" i="14"/>
  <c r="M59" i="313"/>
  <c r="T6" i="14"/>
  <c r="S35" i="14"/>
  <c r="I14" i="14"/>
  <c r="I195" i="14" s="1"/>
  <c r="S33" i="14"/>
  <c r="S29" i="14"/>
  <c r="S32" i="14"/>
  <c r="S30" i="14"/>
  <c r="S34" i="14"/>
  <c r="S23" i="14"/>
  <c r="S24" i="14"/>
  <c r="S19" i="14"/>
  <c r="Q18" i="14"/>
  <c r="H196" i="14" l="1"/>
  <c r="V6" i="14"/>
  <c r="S18" i="14"/>
  <c r="Q14" i="14"/>
  <c r="I197" i="14" l="1"/>
  <c r="I198" i="14" s="1"/>
  <c r="I199" i="14" l="1"/>
  <c r="I200" i="14" s="1"/>
</calcChain>
</file>

<file path=xl/sharedStrings.xml><?xml version="1.0" encoding="utf-8"?>
<sst xmlns="http://schemas.openxmlformats.org/spreadsheetml/2006/main" count="6402" uniqueCount="681">
  <si>
    <t>Fecha:</t>
  </si>
  <si>
    <t xml:space="preserve">Revisión </t>
  </si>
  <si>
    <t>ITEM</t>
  </si>
  <si>
    <t>DESCRIPCION</t>
  </si>
  <si>
    <t>UNIDAD</t>
  </si>
  <si>
    <t>CANTIDAD</t>
  </si>
  <si>
    <t>P. UNITARIO</t>
  </si>
  <si>
    <t>P. TOTAL</t>
  </si>
  <si>
    <t>TOTAL NETO</t>
  </si>
  <si>
    <t>Fecha</t>
  </si>
  <si>
    <t>TIPO</t>
  </si>
  <si>
    <t>CLIENTE</t>
  </si>
  <si>
    <t>COMUNA</t>
  </si>
  <si>
    <t>DIRECCIÓN</t>
  </si>
  <si>
    <t>VºBº CLIENTE</t>
  </si>
  <si>
    <t>Nombre</t>
  </si>
  <si>
    <t>Firma</t>
  </si>
  <si>
    <t>1.1</t>
  </si>
  <si>
    <t>m2</t>
  </si>
  <si>
    <t>2.1</t>
  </si>
  <si>
    <t>GASTOS GENERALES</t>
  </si>
  <si>
    <t>UTILIDAD</t>
  </si>
  <si>
    <t>COSTO DIRECTO</t>
  </si>
  <si>
    <t>IVA</t>
  </si>
  <si>
    <t>TOTAL BRUTO</t>
  </si>
  <si>
    <t>CONDICIONES COMERCIALES</t>
  </si>
  <si>
    <t>1.- Plazo de Ejecución</t>
  </si>
  <si>
    <t>2.- Forma de Pago</t>
  </si>
  <si>
    <t>3.- Garantia</t>
  </si>
  <si>
    <t>Unidad</t>
  </si>
  <si>
    <t>Cantidad</t>
  </si>
  <si>
    <t>Código</t>
  </si>
  <si>
    <t xml:space="preserve">Recurso </t>
  </si>
  <si>
    <t>Descripción</t>
  </si>
  <si>
    <t>Precio Unitario</t>
  </si>
  <si>
    <t>Total</t>
  </si>
  <si>
    <t>Partida</t>
  </si>
  <si>
    <t>Costo</t>
  </si>
  <si>
    <t>Material</t>
  </si>
  <si>
    <t>uni</t>
  </si>
  <si>
    <t>Mano de Obra</t>
  </si>
  <si>
    <t>hh</t>
  </si>
  <si>
    <t>%</t>
  </si>
  <si>
    <t>Total APU 1.2</t>
  </si>
  <si>
    <t>4.- Alcance</t>
  </si>
  <si>
    <t>Mat</t>
  </si>
  <si>
    <t>MO</t>
  </si>
  <si>
    <t>Arr</t>
  </si>
  <si>
    <t>Servios &amp;Arr</t>
  </si>
  <si>
    <t>Materiales</t>
  </si>
  <si>
    <t>Providencia, RM</t>
  </si>
  <si>
    <t>3.1</t>
  </si>
  <si>
    <t>3.2</t>
  </si>
  <si>
    <t>2.3</t>
  </si>
  <si>
    <t>Ser&amp;Arr</t>
  </si>
  <si>
    <t>Desgaste de Herramientas</t>
  </si>
  <si>
    <t>SC</t>
  </si>
  <si>
    <t>Subcontratos</t>
  </si>
  <si>
    <t>gl</t>
  </si>
  <si>
    <t>4.1</t>
  </si>
  <si>
    <t>4.2</t>
  </si>
  <si>
    <t>5.1</t>
  </si>
  <si>
    <t>5.2</t>
  </si>
  <si>
    <t>6.1</t>
  </si>
  <si>
    <t>6.2</t>
  </si>
  <si>
    <t>m</t>
  </si>
  <si>
    <t>7.1</t>
  </si>
  <si>
    <t>m3</t>
  </si>
  <si>
    <t>Jornal</t>
  </si>
  <si>
    <t>Demoliciones y Retiros de Escombros</t>
  </si>
  <si>
    <t>Carga y Retiro de Escombros</t>
  </si>
  <si>
    <t>día</t>
  </si>
  <si>
    <t>Maestro Soldador</t>
  </si>
  <si>
    <t>Ayudante Soldador</t>
  </si>
  <si>
    <t>02.- Presupuesto'!A1</t>
  </si>
  <si>
    <t>kg</t>
  </si>
  <si>
    <t>un</t>
  </si>
  <si>
    <t>3.3</t>
  </si>
  <si>
    <t>3.4</t>
  </si>
  <si>
    <t>3.5</t>
  </si>
  <si>
    <t>5.3</t>
  </si>
  <si>
    <t>5.4</t>
  </si>
  <si>
    <t>6.3</t>
  </si>
  <si>
    <t>6.4</t>
  </si>
  <si>
    <t>7.2</t>
  </si>
  <si>
    <t>7.3</t>
  </si>
  <si>
    <t>2.2</t>
  </si>
  <si>
    <t>Sueldo L.</t>
  </si>
  <si>
    <t>Sueldo B.</t>
  </si>
  <si>
    <t>HH</t>
  </si>
  <si>
    <t>Maestro</t>
  </si>
  <si>
    <t>Ayudante</t>
  </si>
  <si>
    <t>Cerámista</t>
  </si>
  <si>
    <t>Pintor</t>
  </si>
  <si>
    <t>Subcontrato</t>
  </si>
  <si>
    <t>Movimiento de Tierra</t>
  </si>
  <si>
    <t>Desbroce</t>
  </si>
  <si>
    <t>2.4</t>
  </si>
  <si>
    <t>Excavación, carguió sobre camión y traslado a botadero, e = variable</t>
  </si>
  <si>
    <t>Retiro y reposición zanja para ducto malla de puesta a tierra</t>
  </si>
  <si>
    <t>Formación y compactación de plataforma e= variable. Relleno e= 20cm</t>
  </si>
  <si>
    <t>Tratamiento de taludes de corte con hidrosiembra según manual de carreteras</t>
  </si>
  <si>
    <t>Movimiento de Tierra Camino Acceso</t>
  </si>
  <si>
    <t>Sobrexcavación para caminos interiores, carguio sobre camión y traslado</t>
  </si>
  <si>
    <t>Suministro y colocación Base Granular CBR &gt;100% e=26cm</t>
  </si>
  <si>
    <t>Suministro y colocación Sub-Base granular CBR &gt; 50% e=20cm</t>
  </si>
  <si>
    <t>Suministro y colocación de bolones para estabilización de suelos e=30cm</t>
  </si>
  <si>
    <t>Suministro e Instalación de Geotextil bajo la Sub-Base</t>
  </si>
  <si>
    <t>Sistema Drenajes</t>
  </si>
  <si>
    <t>Suministro de materiales y construcción de zanja de infiltración, incluye cubo dren</t>
  </si>
  <si>
    <t>Suministro de materiales y construcción cámaras de filtración y decantación</t>
  </si>
  <si>
    <t>Cierre Perimetral Exterior</t>
  </si>
  <si>
    <t>Suministro e instalación cierre perimetral tipo Bulldog</t>
  </si>
  <si>
    <t>Suministro e instalación cierre perimetral tipo Acmafor</t>
  </si>
  <si>
    <t>Suministro e instalación portón metálico peatonal 1m</t>
  </si>
  <si>
    <t>Suministro e instalación portón metálico vehicular 5m</t>
  </si>
  <si>
    <t>Fundación Equipos</t>
  </si>
  <si>
    <t>Fundación Grupo Generador a gas GLP, 05 unidades.</t>
  </si>
  <si>
    <t>6.5</t>
  </si>
  <si>
    <t>6.6</t>
  </si>
  <si>
    <t>6.7</t>
  </si>
  <si>
    <t>Suministro e Instalación Hormigón G25(10)20-8</t>
  </si>
  <si>
    <t>Suministro e instalación emplantillado hormigón G5</t>
  </si>
  <si>
    <t>Suministro e Instalación relleno estructural compactado al 95% DMSC</t>
  </si>
  <si>
    <t>Excavación maquinaría local y traslado a botadero, hasta 20 Km</t>
  </si>
  <si>
    <t>Suministro y construcción moldajes de madera o metálicos</t>
  </si>
  <si>
    <t>Suministro e instalación de pernos de anclaje químico</t>
  </si>
  <si>
    <t>Fundación Transformador 2,0 MVA, 05 unidades</t>
  </si>
  <si>
    <t>Suministro e instalación enfierradura malla acma C-188</t>
  </si>
  <si>
    <t>Suministro e instalación parrilla de piso Arriogoni ARS-3</t>
  </si>
  <si>
    <t>Suministro e instalación ángulo acero L30x3</t>
  </si>
  <si>
    <t>Suministro e instalación ángulo acero L50x5</t>
  </si>
  <si>
    <t>7.4</t>
  </si>
  <si>
    <t>7.5</t>
  </si>
  <si>
    <t>7.6</t>
  </si>
  <si>
    <t>7.7</t>
  </si>
  <si>
    <t>7.8</t>
  </si>
  <si>
    <t>7.9</t>
  </si>
  <si>
    <t>7.10</t>
  </si>
  <si>
    <t>7.11</t>
  </si>
  <si>
    <t>Fundaciones Radiadores</t>
  </si>
  <si>
    <t>8.1</t>
  </si>
  <si>
    <t>8.2</t>
  </si>
  <si>
    <t>8.3</t>
  </si>
  <si>
    <t>8.4</t>
  </si>
  <si>
    <t>8.5</t>
  </si>
  <si>
    <t>8.6</t>
  </si>
  <si>
    <t>8.7</t>
  </si>
  <si>
    <t>Cámara Separadora, ubicación aledaño a PMT</t>
  </si>
  <si>
    <t>Tapa en losa de hormigón G15, incluye armadura acma 188, aditivo imperm.</t>
  </si>
  <si>
    <t>Suministro e Instalación Hormigón G15, con aditivo impermeabilizante, igol denso.</t>
  </si>
  <si>
    <t>9.1</t>
  </si>
  <si>
    <t>9.2</t>
  </si>
  <si>
    <t>9.3</t>
  </si>
  <si>
    <t>9.4</t>
  </si>
  <si>
    <t>9.5</t>
  </si>
  <si>
    <t>9.6</t>
  </si>
  <si>
    <t>10.1</t>
  </si>
  <si>
    <t>Fundación Grupo Generador 400kVA SS.AA + Pretil de Contención</t>
  </si>
  <si>
    <t>Suministro e instalación de hormigón G-15 con aditivo imp, igol denso, pintura, junta poliuretano</t>
  </si>
  <si>
    <t>Suministro e instalación rejilla galvanizada nervada</t>
  </si>
  <si>
    <t>Suministro e instalación armadura A630-420H, diámetro 12mm</t>
  </si>
  <si>
    <t>10.2</t>
  </si>
  <si>
    <t>10.3</t>
  </si>
  <si>
    <t>10.4</t>
  </si>
  <si>
    <t>10.5</t>
  </si>
  <si>
    <t>10.6</t>
  </si>
  <si>
    <t>10.7</t>
  </si>
  <si>
    <t>10.8</t>
  </si>
  <si>
    <t>11.2</t>
  </si>
  <si>
    <t>11.3</t>
  </si>
  <si>
    <t>11.4</t>
  </si>
  <si>
    <t>11.1</t>
  </si>
  <si>
    <t>Suministro e Instalación Cámara separadora de hidrocarburos de 230 litros Infraplast</t>
  </si>
  <si>
    <t>Suministro e instalación ducto PVC hidra Ø=110 mm flexodren</t>
  </si>
  <si>
    <t>Suministro e instalación arena compactada</t>
  </si>
  <si>
    <t>Excavación, carguío sobre camión y traslado a botadero</t>
  </si>
  <si>
    <t>Ducto PVC 110mm, considera salida desde pretiles de transformador a cámara separadora</t>
  </si>
  <si>
    <t>12.1</t>
  </si>
  <si>
    <t>12.2</t>
  </si>
  <si>
    <t>12.3</t>
  </si>
  <si>
    <t>12.4</t>
  </si>
  <si>
    <t>12.5</t>
  </si>
  <si>
    <t>12.6</t>
  </si>
  <si>
    <t>Cámaras Separadora Agua - Hidrocarburos</t>
  </si>
  <si>
    <t>Cámara ciega para almacenar eventuales derrames, en sector exterior sala de máquinas</t>
  </si>
  <si>
    <t>Zanjas de infiltración con cubo dren para sistema de contención de derrames</t>
  </si>
  <si>
    <t>Suministro y colocación arena limpia compactada</t>
  </si>
  <si>
    <t>Suministro y colocación gravilla (bajo tamiz 1")</t>
  </si>
  <si>
    <t>Suministro e instalación Cubos dren 26 t/m2</t>
  </si>
  <si>
    <t>Excavación máquinaria local, traslado a botadero hasta 20km (geométrica, sin esponajamiento)</t>
  </si>
  <si>
    <t>Suministro e instalación PVC 110mm</t>
  </si>
  <si>
    <t>Suministro e instalación códo de PVC 110mm</t>
  </si>
  <si>
    <t>Suministro e instalación de Geotextil</t>
  </si>
  <si>
    <t>Suministro e instalación PVC110 mm ranurado</t>
  </si>
  <si>
    <t>13.1</t>
  </si>
  <si>
    <t>13.2</t>
  </si>
  <si>
    <t>13.3</t>
  </si>
  <si>
    <t>13.4</t>
  </si>
  <si>
    <t>13.5</t>
  </si>
  <si>
    <t>13.6</t>
  </si>
  <si>
    <t>13.7</t>
  </si>
  <si>
    <t>13.8</t>
  </si>
  <si>
    <t>Suministro e Instalación Hormigón G20(10)20-8</t>
  </si>
  <si>
    <t>Suministro e Instalación L100x100x6 L=100mm</t>
  </si>
  <si>
    <t>14.1</t>
  </si>
  <si>
    <t>14.2</t>
  </si>
  <si>
    <t>14.3</t>
  </si>
  <si>
    <t>14.4</t>
  </si>
  <si>
    <t>14.5</t>
  </si>
  <si>
    <t>14.6</t>
  </si>
  <si>
    <t>14.7</t>
  </si>
  <si>
    <t>14.8</t>
  </si>
  <si>
    <t>Estructuras</t>
  </si>
  <si>
    <t>Estructura Soporte Transformador 0,5 MVA, 5 unidades.</t>
  </si>
  <si>
    <t>Suministro y construcción de soporte con perfiles, metálicos galvanizados</t>
  </si>
  <si>
    <t>Estructuras Contenedores</t>
  </si>
  <si>
    <t>Sala eléctrica, suministro e instalación contenedor metálico 40 ft.</t>
  </si>
  <si>
    <t>Soporte de Equipo Silenciador Gases de Escape</t>
  </si>
  <si>
    <t>Suministro e instalación perfiles cuadrado 100x100x6nn metálicos galvanizados</t>
  </si>
  <si>
    <t>Suministro e instalación perfiles L 65x65x8mm metálicos galvanizados</t>
  </si>
  <si>
    <t>Suministro e instalación perfiles cajón 200x200x6 metálicos galvanizados</t>
  </si>
  <si>
    <t>Suministro e instalación de pernos de 5/8" de 2 1/2" de largo calidad ASTM A-325</t>
  </si>
  <si>
    <t>Soporte Tablero Eléctrico</t>
  </si>
  <si>
    <t>Suministro e instalación pérfiles metálicos galvanizados, incluyendo placa de anclaje.</t>
  </si>
  <si>
    <t>Suministro e instalación de pernos de anclaje mecanico Ø1/2  4"</t>
  </si>
  <si>
    <t>15.1</t>
  </si>
  <si>
    <t>16.1</t>
  </si>
  <si>
    <t>17.1</t>
  </si>
  <si>
    <t>17.2</t>
  </si>
  <si>
    <t>17.3</t>
  </si>
  <si>
    <t>17.4</t>
  </si>
  <si>
    <t>18.1</t>
  </si>
  <si>
    <t>18.2</t>
  </si>
  <si>
    <t>Sala de Maquinas</t>
  </si>
  <si>
    <t>Fundaciones</t>
  </si>
  <si>
    <t>Suministro y construcción Hormigón G20, construcción fundaciones.</t>
  </si>
  <si>
    <t>Suministro y construcción Hormigón G20, construcción vigas de amarre</t>
  </si>
  <si>
    <t>Excavación maquinaría local, traslado a botadero, hasta 20 Km</t>
  </si>
  <si>
    <t>Suministro e instalación de moldaje para pedestal fundaciones y vigas</t>
  </si>
  <si>
    <t>Suministro e instalación relleno estructural compactado, 50 cm bajo fundación y sobreancho de 50 cm</t>
  </si>
  <si>
    <t>Suministro e instalación enfierradura A630-420</t>
  </si>
  <si>
    <t>Suministro e instalación de anclajes</t>
  </si>
  <si>
    <t>19.1</t>
  </si>
  <si>
    <t>19.2</t>
  </si>
  <si>
    <t>19.3</t>
  </si>
  <si>
    <t>19.4</t>
  </si>
  <si>
    <t>19.5</t>
  </si>
  <si>
    <t>19.6</t>
  </si>
  <si>
    <t>19.7</t>
  </si>
  <si>
    <t>19.8</t>
  </si>
  <si>
    <t>Radier</t>
  </si>
  <si>
    <t>Suministro y construcción hormigón G15, espesor 15 cm</t>
  </si>
  <si>
    <t>Suministro e instalación grava limpia de 2 1/2" y contenido de finos inferior a 15%</t>
  </si>
  <si>
    <t>Geotextil calidad según Manual de carreteras</t>
  </si>
  <si>
    <t>Suministro, instalación relleno estructural compactado al 95% de la D.M.S.C</t>
  </si>
  <si>
    <t>20.1</t>
  </si>
  <si>
    <t>20.2</t>
  </si>
  <si>
    <t>20.3</t>
  </si>
  <si>
    <t>20.4</t>
  </si>
  <si>
    <t>Estructura Metálica</t>
  </si>
  <si>
    <t>Suministro e instalación perfiles metálicos, tipo MM, Formac. Marcos.</t>
  </si>
  <si>
    <t>Suministro e instalación perfiles metálicos, tipo Formac, cubierta y laterales.</t>
  </si>
  <si>
    <t>Suministro e instalación perfiles metálicos. Frontones.</t>
  </si>
  <si>
    <t>Suministro e instalación perfiles metálicos, arriostramientos.</t>
  </si>
  <si>
    <t>Suministro e instalación unión apernadas, placas de refuerzo. Viga-Columna</t>
  </si>
  <si>
    <t>Suministro e instalación unión anclaje fundación.</t>
  </si>
  <si>
    <t>Suministro e instalación uniones apernadas, arriostramientos, puntales, diagonales</t>
  </si>
  <si>
    <t>Suministro e instalación pernos de uniones Ø5/8 A325-union viga columna, flexión</t>
  </si>
  <si>
    <t>Suministro e instalación pernos de uniones Ø1/2 A325-union viga columna, corte</t>
  </si>
  <si>
    <t>Suministro e instalación pernos de uniones Ø1/2 A325-uniones</t>
  </si>
  <si>
    <t>Suministro e instalación de perfiles metálicos cuadrados para iluminación 75x75x3</t>
  </si>
  <si>
    <t>21.1</t>
  </si>
  <si>
    <t>21.2</t>
  </si>
  <si>
    <t>21.3</t>
  </si>
  <si>
    <t>21.4</t>
  </si>
  <si>
    <t>21.5</t>
  </si>
  <si>
    <t>21.6</t>
  </si>
  <si>
    <t>21.7</t>
  </si>
  <si>
    <t>21.8</t>
  </si>
  <si>
    <t>21.9</t>
  </si>
  <si>
    <t>21.10</t>
  </si>
  <si>
    <t>21.11</t>
  </si>
  <si>
    <t>Portones de Acceso</t>
  </si>
  <si>
    <t>Suministro e instalación perfiles y placa 1,2 portones de acceso, color RAL 7040</t>
  </si>
  <si>
    <t>Suministro e instalación ruedas superiores e inferiores, riel superior, Prodalam o similar técnico</t>
  </si>
  <si>
    <t>Suministro e instalación riel para carro portante, Prodalam o similar técnico</t>
  </si>
  <si>
    <t>Candados de seguridad 730-38mm ODIS</t>
  </si>
  <si>
    <t>Suministro e instalación picaportes</t>
  </si>
  <si>
    <t>Suministro e instalación Perfil 125x75x4</t>
  </si>
  <si>
    <t>22.1</t>
  </si>
  <si>
    <t>22.2</t>
  </si>
  <si>
    <t>22.3</t>
  </si>
  <si>
    <t>22.4</t>
  </si>
  <si>
    <t>22.5</t>
  </si>
  <si>
    <t>22.6</t>
  </si>
  <si>
    <t>Revestimiento</t>
  </si>
  <si>
    <t>Suministro e instalación PV4, color RAL 7024, e=0,4mm techumbre</t>
  </si>
  <si>
    <t>Suministro e instalación PV4, color RAL 7042, e=0,4mm laterales y frontones</t>
  </si>
  <si>
    <t>Suministro e instalación curvas para terminación en hombro, COLOR RAL 7024 largo 2,0 m</t>
  </si>
  <si>
    <t>Suministro e instalación hojalatería cortagotera (10cm+32cm+30cm) sobre portones</t>
  </si>
  <si>
    <t>Suministro e instalación hojalatería, terminación frontal y trasera (angulo 25cm+25cm)</t>
  </si>
  <si>
    <t>Suministro e instalación panel de lana roca 100mm de espesor factor fuego 120 minutos</t>
  </si>
  <si>
    <t>23.1</t>
  </si>
  <si>
    <t>23.2</t>
  </si>
  <si>
    <t>23.3</t>
  </si>
  <si>
    <t>23.4</t>
  </si>
  <si>
    <t>23.5</t>
  </si>
  <si>
    <t>23.6</t>
  </si>
  <si>
    <t>Urbanizaciones</t>
  </si>
  <si>
    <t>Urbanizaciones Patio</t>
  </si>
  <si>
    <t>Suministro e instalación Grava de Patio MT, espesor = 10 cm, diametro aproximado 1,0"</t>
  </si>
  <si>
    <t>Suministro e instalación Solerilla canto redondo, para contención y terminación de grava</t>
  </si>
  <si>
    <t>Suministro e instalación Solera tipo Manquehue</t>
  </si>
  <si>
    <t>Cierre Perimetral Interior</t>
  </si>
  <si>
    <t>Suministro e instalación cierre perimetral exterior tipo Acmafor</t>
  </si>
  <si>
    <t>Portón peatonal tipo Acmafor, ancho 1,0 metros</t>
  </si>
  <si>
    <t>24.1</t>
  </si>
  <si>
    <t>24.2</t>
  </si>
  <si>
    <t>24.3</t>
  </si>
  <si>
    <t>25.1</t>
  </si>
  <si>
    <t>25.2</t>
  </si>
  <si>
    <t>Canalizaciones</t>
  </si>
  <si>
    <t>Cámaras para conductores eléctricos</t>
  </si>
  <si>
    <t>Construcción cámara 0,6x0,6x1,1 c/tapa diamantada galvanizada</t>
  </si>
  <si>
    <t>Construcción cámara 0,8x0,8x1,0 c/tapa diamantada galvanizada</t>
  </si>
  <si>
    <t>Construcción cámara 0,8x0,8x1,25 c/tapa diamantada galvanizada</t>
  </si>
  <si>
    <t>Construcción cámara 1,0x1,0x1,1 c/tapa diamantada galvanizada</t>
  </si>
  <si>
    <t>Construcción trinchera eléctrica de hormigón sección interior 700x1130mm</t>
  </si>
  <si>
    <t>Construcción trinchera eléctrica de hormigón sección interior 400x610mm</t>
  </si>
  <si>
    <t>26.1</t>
  </si>
  <si>
    <t>26.2</t>
  </si>
  <si>
    <t>26.3</t>
  </si>
  <si>
    <t>26.4</t>
  </si>
  <si>
    <t>26.5</t>
  </si>
  <si>
    <t>26.6</t>
  </si>
  <si>
    <t>Muros Cortafuego</t>
  </si>
  <si>
    <t>Muros cortafuego</t>
  </si>
  <si>
    <t>Sum. y construcción muros cortafuego, altura 3,3 y largo 4,0 m albañilería bloques prefabricado</t>
  </si>
  <si>
    <t>Sum. y construcción muros cortafuego, altura 3,3 y largo 5,0 m albañilería bloques prefabricado</t>
  </si>
  <si>
    <t>Sum. y construcción muros cortafuego, altura 3,3 y largo 4,0 m. Sección de zapata 1,2m</t>
  </si>
  <si>
    <t>Sum. y construcción muros cortafuego, altura 3,3 y largo 5,0 m. Sección de zapata 1,2m</t>
  </si>
  <si>
    <t>27.1</t>
  </si>
  <si>
    <t>27.2</t>
  </si>
  <si>
    <t>27.3</t>
  </si>
  <si>
    <t>27.4</t>
  </si>
  <si>
    <t xml:space="preserve">m3 </t>
  </si>
  <si>
    <t>2442 m2</t>
  </si>
  <si>
    <t>hm</t>
  </si>
  <si>
    <t>Camión Tolva</t>
  </si>
  <si>
    <t>Retroexcavadora</t>
  </si>
  <si>
    <t>Total APU 1.1</t>
  </si>
  <si>
    <t>Total APU 2.1</t>
  </si>
  <si>
    <t>Excavadora</t>
  </si>
  <si>
    <t>Total APU 3.1</t>
  </si>
  <si>
    <t>Base Granular CBR &gt;100%</t>
  </si>
  <si>
    <t>Rodillo</t>
  </si>
  <si>
    <t>Camión Aljibe</t>
  </si>
  <si>
    <t>Ensayo Granulometría</t>
  </si>
  <si>
    <t>Ensayo Proctor</t>
  </si>
  <si>
    <t>Ensayo CBR</t>
  </si>
  <si>
    <t>Total APU 3.2</t>
  </si>
  <si>
    <t>Base Granular CBR &gt;50%</t>
  </si>
  <si>
    <t>Total APU 3.3</t>
  </si>
  <si>
    <t>Total APU 3.4</t>
  </si>
  <si>
    <t>Bolones</t>
  </si>
  <si>
    <t>Total APU 3.5</t>
  </si>
  <si>
    <t>Malla Geotextil 2x50</t>
  </si>
  <si>
    <t>Compresión Probetas Cilindricas</t>
  </si>
  <si>
    <t>Total APU 6.1</t>
  </si>
  <si>
    <t>Hormigón G25(10)20-8</t>
  </si>
  <si>
    <t>Carga Incompleta</t>
  </si>
  <si>
    <t>Sonda Vibradora + Motor Bencinero</t>
  </si>
  <si>
    <t>Sonda Vibradora + Motor Electrico</t>
  </si>
  <si>
    <t>Sueldos</t>
  </si>
  <si>
    <t>PU</t>
  </si>
  <si>
    <t>Maquinaría</t>
  </si>
  <si>
    <t>Motoniveladora</t>
  </si>
  <si>
    <t>HM</t>
  </si>
  <si>
    <t>Aridos</t>
  </si>
  <si>
    <t>M3</t>
  </si>
  <si>
    <t>Hormigón</t>
  </si>
  <si>
    <t>Hormigón G20(10)20-8</t>
  </si>
  <si>
    <t>Hormigón G5</t>
  </si>
  <si>
    <t>Total APU 6.2</t>
  </si>
  <si>
    <t>Placa Compactadora</t>
  </si>
  <si>
    <t>Ensayo Densidad In Situ</t>
  </si>
  <si>
    <t>UF</t>
  </si>
  <si>
    <t>Total APU 6.3</t>
  </si>
  <si>
    <t>Total APU 6.4</t>
  </si>
  <si>
    <t>Pino Verde 2x3" 3,2m</t>
  </si>
  <si>
    <t>Terciado Estructural 1,22x2,44m 15 mm</t>
  </si>
  <si>
    <t>Clavos CTE 1 1/2"</t>
  </si>
  <si>
    <t>Alambre Negro Recocido #14 25 Kg</t>
  </si>
  <si>
    <t>Total APU 6.5</t>
  </si>
  <si>
    <t>Acero A630-420H</t>
  </si>
  <si>
    <t>Kg</t>
  </si>
  <si>
    <t>Alambre Negro Recocido #18</t>
  </si>
  <si>
    <t>Total APU 6.6</t>
  </si>
  <si>
    <t>Total APU 7.1</t>
  </si>
  <si>
    <t>Total APU 7.2</t>
  </si>
  <si>
    <t>Total APU 7.3</t>
  </si>
  <si>
    <t>Total APU 7.4</t>
  </si>
  <si>
    <t>Total APU 7.5</t>
  </si>
  <si>
    <t>Total APU 7.6</t>
  </si>
  <si>
    <t>Total APU 8.1</t>
  </si>
  <si>
    <t>Total APU 8.2</t>
  </si>
  <si>
    <t>Total APU 8.3</t>
  </si>
  <si>
    <t>Total APU 8.4</t>
  </si>
  <si>
    <t>Total APU 8.5</t>
  </si>
  <si>
    <t>Total APU 8.6</t>
  </si>
  <si>
    <t>Total APU 9.2</t>
  </si>
  <si>
    <t>Total APU 9.4</t>
  </si>
  <si>
    <t>Total APU 9.5</t>
  </si>
  <si>
    <t>Total APU 10.2</t>
  </si>
  <si>
    <t>Total APU 10.4</t>
  </si>
  <si>
    <t>Total APU 10.3</t>
  </si>
  <si>
    <t>Total APU 10.5</t>
  </si>
  <si>
    <t>Total APU 10.8</t>
  </si>
  <si>
    <t>Total APU 12.2</t>
  </si>
  <si>
    <t>Total APU 12.3</t>
  </si>
  <si>
    <t>Total APU 12.4</t>
  </si>
  <si>
    <t>Total APU 13.4</t>
  </si>
  <si>
    <t>Total APU 13.7</t>
  </si>
  <si>
    <t>Total APU 14.1</t>
  </si>
  <si>
    <t>Total APU 14.2</t>
  </si>
  <si>
    <t>Total APU 14.3</t>
  </si>
  <si>
    <t>Total APU 14.4</t>
  </si>
  <si>
    <t>Total APU 14.5</t>
  </si>
  <si>
    <t>Total APU 14.6</t>
  </si>
  <si>
    <t>Total APU 19.3</t>
  </si>
  <si>
    <t>Total APU 19.7</t>
  </si>
  <si>
    <t>Total APU 20.4</t>
  </si>
  <si>
    <t>Adhesivo Anclaje Químico</t>
  </si>
  <si>
    <t>Total APU 6.7</t>
  </si>
  <si>
    <t>Perno Anclaje 3/4"</t>
  </si>
  <si>
    <t>Total APU 7.7</t>
  </si>
  <si>
    <t>Total APU 8.7</t>
  </si>
  <si>
    <t>Total APU 10.6</t>
  </si>
  <si>
    <t>Total APU 14.7</t>
  </si>
  <si>
    <t>Total APU 19.8</t>
  </si>
  <si>
    <t>Hormigón G15(10)20-8</t>
  </si>
  <si>
    <t>Aditivo Impermeabilizante</t>
  </si>
  <si>
    <t>Tineta Igol Denso 16 Lt</t>
  </si>
  <si>
    <t>Total APU 9.1</t>
  </si>
  <si>
    <t>Total APU 10.1</t>
  </si>
  <si>
    <t>Total APU 12.1</t>
  </si>
  <si>
    <t>Malla Acma C-188</t>
  </si>
  <si>
    <t>Total APU 7.8</t>
  </si>
  <si>
    <t>Total APU 9.3</t>
  </si>
  <si>
    <t>Total APU 12.5</t>
  </si>
  <si>
    <t>Total APU 9.6</t>
  </si>
  <si>
    <t>Total APU 11.3</t>
  </si>
  <si>
    <t>Arena</t>
  </si>
  <si>
    <t>Total APU 13.1</t>
  </si>
  <si>
    <t>Gravilla</t>
  </si>
  <si>
    <t>Total APU 13.2</t>
  </si>
  <si>
    <t>Total APU 20.3</t>
  </si>
  <si>
    <t>Perfiles Metálicos Galvanizado General</t>
  </si>
  <si>
    <t>Soldadura 6011 3/32 Punto azul</t>
  </si>
  <si>
    <t>Huaipe</t>
  </si>
  <si>
    <t>Total APU 15.1</t>
  </si>
  <si>
    <t>Total APU 17.1</t>
  </si>
  <si>
    <t>Total APU 17.2</t>
  </si>
  <si>
    <t>Total APU 17.3</t>
  </si>
  <si>
    <t>Total APU 18.1</t>
  </si>
  <si>
    <t>Total APU 21.1</t>
  </si>
  <si>
    <t>Total APU 21.2</t>
  </si>
  <si>
    <t>Total APU 21.3</t>
  </si>
  <si>
    <t>Total APU 21.4</t>
  </si>
  <si>
    <t>Total APU 21.5</t>
  </si>
  <si>
    <t>Total APU 21.6</t>
  </si>
  <si>
    <t>Total APU 21.7</t>
  </si>
  <si>
    <t>Total APU 21.11</t>
  </si>
  <si>
    <t>Total APU 20.1</t>
  </si>
  <si>
    <t>Total APU 26.1</t>
  </si>
  <si>
    <t>Tapa diamantada galvanizada</t>
  </si>
  <si>
    <t>Total APU 26.2</t>
  </si>
  <si>
    <t>Total APU 26.3</t>
  </si>
  <si>
    <t>Total APU 26.4</t>
  </si>
  <si>
    <t>SC Enfierrador</t>
  </si>
  <si>
    <t>SC Perfilería Metálica</t>
  </si>
  <si>
    <t>Enfierrador</t>
  </si>
  <si>
    <t>Parrilla ARS-3 Negra 903x5800</t>
  </si>
  <si>
    <t>Total APU 7.9</t>
  </si>
  <si>
    <t>Total APU 7.10</t>
  </si>
  <si>
    <t>Perfil Ángulo Laminado 50x50x5 mm 6m</t>
  </si>
  <si>
    <t>Total APU 7.11</t>
  </si>
  <si>
    <t>Perfil Ángulo Laminado 30x30x3 mm 6m</t>
  </si>
  <si>
    <t>Perfil Ángulo Laminado 100x100x6 mm 6m</t>
  </si>
  <si>
    <t>Total APU 14.8</t>
  </si>
  <si>
    <t>Esmalte Sintetico 1 Gal RAL7040</t>
  </si>
  <si>
    <t>Total APU 22.1</t>
  </si>
  <si>
    <t>Riel para Carro de Portón Colgante 6m</t>
  </si>
  <si>
    <t>Ruedas para portón colgante</t>
  </si>
  <si>
    <t>Total APU 22.2</t>
  </si>
  <si>
    <t>Total APU 22.3</t>
  </si>
  <si>
    <t>Total APU 22.4</t>
  </si>
  <si>
    <t>Picaporte Locinox</t>
  </si>
  <si>
    <t>Total APU 22.5</t>
  </si>
  <si>
    <t>Perfil 125x75x4 6m</t>
  </si>
  <si>
    <t>Total APU 22.6</t>
  </si>
  <si>
    <t>Rejilla Galvanizada Nervada</t>
  </si>
  <si>
    <t>Total APU 10.7</t>
  </si>
  <si>
    <t>Total APU 11.4</t>
  </si>
  <si>
    <t>Total APU 18.2</t>
  </si>
  <si>
    <t>Perno Anclaje 1/2" 4""</t>
  </si>
  <si>
    <t>Total APU 19.1</t>
  </si>
  <si>
    <t>Total APU 19.2</t>
  </si>
  <si>
    <t>Total APU 19.4</t>
  </si>
  <si>
    <t>Total APU 19.5</t>
  </si>
  <si>
    <t>Total APU 19.6</t>
  </si>
  <si>
    <t>Grava Limpia</t>
  </si>
  <si>
    <t>Grava</t>
  </si>
  <si>
    <t>Perno Anclaje 5/8" 2 1/2"</t>
  </si>
  <si>
    <t>Perno Anclaje 1/2" 2 1/2"</t>
  </si>
  <si>
    <t>Total APU 21.10</t>
  </si>
  <si>
    <t>Total APU 21.9</t>
  </si>
  <si>
    <t>Total APU 21.8</t>
  </si>
  <si>
    <t>Total APU 24.1</t>
  </si>
  <si>
    <t>Hormigón Predosificado Saco 25Kg</t>
  </si>
  <si>
    <t>Solerilla Canto Redondo</t>
  </si>
  <si>
    <t>Total APU 24.2</t>
  </si>
  <si>
    <t>Total APU 24.3</t>
  </si>
  <si>
    <t>Total APU 2.2</t>
  </si>
  <si>
    <t>Chuzo</t>
  </si>
  <si>
    <t>Pala Punta Huevo</t>
  </si>
  <si>
    <t>Total APU 2.3</t>
  </si>
  <si>
    <t>Subcontrato  Suministro e Instalación Cierro tipo Bulldog</t>
  </si>
  <si>
    <t>Total APU 5.1</t>
  </si>
  <si>
    <t>Ml</t>
  </si>
  <si>
    <t>Subcontrato Instalación Sanitaria</t>
  </si>
  <si>
    <t>Subcontrato  Suministro e Instalación Cierro tipo Acmafor</t>
  </si>
  <si>
    <t>Total APU 5.2</t>
  </si>
  <si>
    <t>Total APU 5.4</t>
  </si>
  <si>
    <t>Total APU 5.3</t>
  </si>
  <si>
    <t>Tubería PVC 110 mm Sanitario</t>
  </si>
  <si>
    <t>Total APU 12.6</t>
  </si>
  <si>
    <t>SC Instalación Tuberías PVC</t>
  </si>
  <si>
    <t>Total APU 13.5</t>
  </si>
  <si>
    <t>Total APU 13.6</t>
  </si>
  <si>
    <t>Total APU 13.8</t>
  </si>
  <si>
    <t>Codo PVC 110 mm Sanitario</t>
  </si>
  <si>
    <t>Total APU 11.2</t>
  </si>
  <si>
    <t>Tubería Flexodren 110</t>
  </si>
  <si>
    <t>Total APU 26.5</t>
  </si>
  <si>
    <t>Total APU 26.6</t>
  </si>
  <si>
    <t>Subcontrato Suministro e Instalación Cubierta PV4</t>
  </si>
  <si>
    <t>Total APU 23.1</t>
  </si>
  <si>
    <t>Subcontrato Suministro e Instalación Hojalatería</t>
  </si>
  <si>
    <t>Subcontrato Sum e Instalación Hojalatería</t>
  </si>
  <si>
    <t>Subcontrato Sum e Inst Acmafor</t>
  </si>
  <si>
    <t>Subcontrato Sum e Inst Bulldog</t>
  </si>
  <si>
    <t>Bloque Hormigón Celular 12.5x20x75</t>
  </si>
  <si>
    <t>Mortero Adhesivo R9 Saco 25 Kg</t>
  </si>
  <si>
    <t>Mortero Reparación R11 Saco 25 Kg</t>
  </si>
  <si>
    <t>Poliuretano Expansible - Normal 750cc</t>
  </si>
  <si>
    <t>Placas Conectoras 300x30x15mm</t>
  </si>
  <si>
    <t>Flete Prefabricados HO Celular</t>
  </si>
  <si>
    <t>Total APU 27.1</t>
  </si>
  <si>
    <t>Total APU 27.2</t>
  </si>
  <si>
    <t>Subcontrato Tratamiento con Hidrosembrado</t>
  </si>
  <si>
    <t>Subcontrato Hidrosembrado</t>
  </si>
  <si>
    <t>Total APU 2.4</t>
  </si>
  <si>
    <t>Cubo Drenaje INSYTEC Serie 3000 16/26T 0,425 x 0,38 x 0,79 m</t>
  </si>
  <si>
    <t>Total APU 4.1</t>
  </si>
  <si>
    <t>Cubo Dren Insytec</t>
  </si>
  <si>
    <t>Total APU 4.2</t>
  </si>
  <si>
    <t>Total APU 13.3</t>
  </si>
  <si>
    <t>Total APU 11.1</t>
  </si>
  <si>
    <t>Contenedor Maritimo 40"</t>
  </si>
  <si>
    <t>Transporte Contenedor</t>
  </si>
  <si>
    <t>Total APU 16.1</t>
  </si>
  <si>
    <t>Lana Roca 1000x6000x100mm F120</t>
  </si>
  <si>
    <t>Total APU 23.6</t>
  </si>
  <si>
    <t>Fundación Sala Eléctrica</t>
  </si>
  <si>
    <t>F1</t>
  </si>
  <si>
    <t>Cant</t>
  </si>
  <si>
    <t>diámetro</t>
  </si>
  <si>
    <t>L</t>
  </si>
  <si>
    <t>Kg/ml</t>
  </si>
  <si>
    <t>F2</t>
  </si>
  <si>
    <t>VHA</t>
  </si>
  <si>
    <t>SC Portón Acmafor Peatonal</t>
  </si>
  <si>
    <t>SC Portón Acmafor Vehicular</t>
  </si>
  <si>
    <t>Total APU 25.1</t>
  </si>
  <si>
    <t>SC Portón Acmafor Interior Peatonal</t>
  </si>
  <si>
    <t>Total APU 25.2</t>
  </si>
  <si>
    <t>En plano multiplican la cantidad mayor por el largo mayor, lo que esta incorrecto</t>
  </si>
  <si>
    <t>URBANIZACIONES</t>
  </si>
  <si>
    <t>CANALIZACIONES</t>
  </si>
  <si>
    <t>MUROS CORTAFUEGO</t>
  </si>
  <si>
    <t>MM400X200X4</t>
  </si>
  <si>
    <t>PERFIL</t>
  </si>
  <si>
    <t>LARGO</t>
  </si>
  <si>
    <t>KG/M</t>
  </si>
  <si>
    <t>LARGO T.</t>
  </si>
  <si>
    <t>150x100x4</t>
  </si>
  <si>
    <t>75x75x4</t>
  </si>
  <si>
    <t>z175x75x20x1,6</t>
  </si>
  <si>
    <t>150x100x3</t>
  </si>
  <si>
    <t>CA150x50x15x3</t>
  </si>
  <si>
    <t>150x75x5</t>
  </si>
  <si>
    <t>200x200x5</t>
  </si>
  <si>
    <t>L65x65x8</t>
  </si>
  <si>
    <t>Administrador de Obra</t>
  </si>
  <si>
    <t>Administración y Bodega</t>
  </si>
  <si>
    <t>Profesionales</t>
  </si>
  <si>
    <t>Jefe Administrativo</t>
  </si>
  <si>
    <t>Jefe de Obra</t>
  </si>
  <si>
    <t>Trazador</t>
  </si>
  <si>
    <t>Ayudante Trazador</t>
  </si>
  <si>
    <t>Instalación de Faenas</t>
  </si>
  <si>
    <t>Señalización</t>
  </si>
  <si>
    <t>Instalación Radiotransmición</t>
  </si>
  <si>
    <t>Instalación Comunicaciones</t>
  </si>
  <si>
    <t>Consumos luz, agua, telef, etc.</t>
  </si>
  <si>
    <t>Alhajamiento Oficinas</t>
  </si>
  <si>
    <t>Otros Gastos</t>
  </si>
  <si>
    <t>Arriendo Instrumentos</t>
  </si>
  <si>
    <t>Movilización Profesional</t>
  </si>
  <si>
    <t>Fletes Vehiculo</t>
  </si>
  <si>
    <t>Consumo Combustible</t>
  </si>
  <si>
    <t>Planos</t>
  </si>
  <si>
    <t>Caja Chica</t>
  </si>
  <si>
    <t>Contenedor Oficinas</t>
  </si>
  <si>
    <t>Contenedor Baños</t>
  </si>
  <si>
    <t>Contenedor Bodegas</t>
  </si>
  <si>
    <t>Contenedor Casino</t>
  </si>
  <si>
    <t>1.2</t>
  </si>
  <si>
    <t>1.3</t>
  </si>
  <si>
    <t>1.4</t>
  </si>
  <si>
    <t>1.5</t>
  </si>
  <si>
    <t>2.5</t>
  </si>
  <si>
    <t>3.6</t>
  </si>
  <si>
    <t>3.7</t>
  </si>
  <si>
    <t>3.8</t>
  </si>
  <si>
    <t>3.9</t>
  </si>
  <si>
    <t>3.10</t>
  </si>
  <si>
    <t>4.3</t>
  </si>
  <si>
    <t>4.4</t>
  </si>
  <si>
    <t>4.5</t>
  </si>
  <si>
    <t>4.6</t>
  </si>
  <si>
    <t>mes</t>
  </si>
  <si>
    <t>Traslado Contenedor</t>
  </si>
  <si>
    <t>3.11</t>
  </si>
  <si>
    <t>2.3.1</t>
  </si>
  <si>
    <t>Gaviones</t>
  </si>
  <si>
    <t>GECOT</t>
  </si>
  <si>
    <t>ITEMIZADO</t>
  </si>
  <si>
    <t>DELTA</t>
  </si>
  <si>
    <t>OBRAS CIVILES CENTRAL LOICA</t>
  </si>
  <si>
    <t>VºBº  CONSTRUCTORA</t>
  </si>
  <si>
    <t>Potencia Sur SpA</t>
  </si>
  <si>
    <t>Avenida Providencia 329, Piso 6</t>
  </si>
  <si>
    <t>Industrial</t>
  </si>
  <si>
    <t>PRESUPUESTO ESTIMATIVO N° 208</t>
  </si>
  <si>
    <t>2.6</t>
  </si>
  <si>
    <t>2.7</t>
  </si>
  <si>
    <t>Jefe Bodega</t>
  </si>
  <si>
    <t>Pañolero</t>
  </si>
  <si>
    <t>Porteria</t>
  </si>
  <si>
    <t>4.7</t>
  </si>
  <si>
    <t>Costo Financiero (Anticipo, Fiel Cumplimiento, TRC, etc.)</t>
  </si>
  <si>
    <t>Geente de Proyecto</t>
  </si>
  <si>
    <t>Profesional de Terreno</t>
  </si>
  <si>
    <t>Profesional Oficina Técnica</t>
  </si>
  <si>
    <t>Profesional Calidad</t>
  </si>
  <si>
    <t>Asistente OT</t>
  </si>
  <si>
    <t>1.6</t>
  </si>
  <si>
    <t>1.7</t>
  </si>
  <si>
    <t>Profesional Prevención Riesgo</t>
  </si>
  <si>
    <t>UF/Mes</t>
  </si>
  <si>
    <t>Elementos de Protección Personal y Comdiciones Seguridad</t>
  </si>
  <si>
    <t>Viaticos</t>
  </si>
  <si>
    <t>4.8</t>
  </si>
  <si>
    <t>2.8</t>
  </si>
  <si>
    <t>2.9</t>
  </si>
  <si>
    <t>Capataz OOGG</t>
  </si>
  <si>
    <t>Capataz Patio</t>
  </si>
  <si>
    <t>DETALLE DE GASTOS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</si>
</sst>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164" formatCode="_ * #,##0.00_ ;_ * \-#,##0.00_ ;_ * &quot;-&quot;_ ;_ @_ "/>
    <numFmt numFmtId="165" formatCode="_(* #,##0.00_);_(* \(#,##0.00\);_(* &quot;-&quot;??_);_(@_)"/>
    <numFmt numFmtId="166" formatCode="&quot;ADICIONAL Nº 0&quot;##"/>
    <numFmt numFmtId="167" formatCode="#,##0.0"/>
    <numFmt numFmtId="168" formatCode="_ [$$-340A]* #,##0.0_ ;_ [$$-340A]* \-#,##0.0_ ;_ [$$-340A]* &quot;-&quot;??_ ;_ @_ "/>
    <numFmt numFmtId="169" formatCode="_ [$$-340A]* #,##0.00_ ;_ [$$-340A]* \-#,##0.00_ ;_ [$$-340A]* &quot;-&quot;??_ ;_ @_ "/>
    <numFmt numFmtId="170" formatCode="[$-F800]dddd\,\ mmmm\ dd\,\ yyyy"/>
    <numFmt numFmtId="171" formatCode="#,##0_ ;[Red]\-#,##0\ "/>
    <numFmt numFmtId="172" formatCode="#,##0.000"/>
    <numFmt numFmtId="173" formatCode="#,##0.0_ ;[Red]\-#,##0.0\ "/>
    <numFmt numFmtId="174" formatCode="_ * #,##0.0_ ;_ * \-#,##0.0_ ;_ * &quot;-&quot;_ ;_ @_ "/>
    <numFmt numFmtId="175" formatCode="0.000%"/>
  </numFmts>
  <fonts count="5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yriad Pro"/>
      <family val="2"/>
    </font>
    <font>
      <b/>
      <sz val="10"/>
      <name val="Myriad Pro"/>
      <family val="2"/>
    </font>
    <font>
      <b/>
      <sz val="8"/>
      <name val="Myriad Pro"/>
      <family val="2"/>
    </font>
    <font>
      <b/>
      <sz val="8"/>
      <name val="Verdan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Bauhaus 93"/>
      <family val="5"/>
    </font>
    <font>
      <sz val="10"/>
      <name val="Myriad Pro"/>
    </font>
    <font>
      <b/>
      <sz val="10"/>
      <name val="Myriad Pro"/>
    </font>
    <font>
      <b/>
      <sz val="10"/>
      <color theme="1"/>
      <name val="Myriad Pro"/>
      <family val="2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rgb="FF0000CC"/>
      <name val="Calibri"/>
      <family val="2"/>
      <scheme val="minor"/>
    </font>
    <font>
      <sz val="11"/>
      <color rgb="FF0000CC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b/>
      <i/>
      <sz val="11"/>
      <name val="Calibri"/>
      <family val="2"/>
    </font>
    <font>
      <b/>
      <sz val="11"/>
      <name val="Calibri"/>
      <family val="2"/>
    </font>
    <font>
      <b/>
      <sz val="11"/>
      <color rgb="FFFF40FF"/>
      <name val="Calibri"/>
      <family val="2"/>
    </font>
    <font>
      <sz val="11"/>
      <color rgb="FFFF40FF"/>
      <name val="Calibri"/>
      <family val="2"/>
    </font>
    <font>
      <b/>
      <sz val="11"/>
      <color theme="1"/>
      <name val="Calibri"/>
      <family val="2"/>
    </font>
    <font>
      <sz val="12"/>
      <name val="Myriad Pro"/>
      <family val="2"/>
    </font>
    <font>
      <b/>
      <sz val="12"/>
      <color theme="1"/>
      <name val="Myriad Pro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Myriad Pro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CC"/>
      <name val="Calibri"/>
      <family val="2"/>
      <scheme val="minor"/>
    </font>
    <font>
      <b/>
      <sz val="12"/>
      <name val="Myriad Pro"/>
      <family val="2"/>
    </font>
    <font>
      <b/>
      <sz val="12"/>
      <name val="Arial"/>
      <family val="2"/>
    </font>
    <font>
      <b/>
      <sz val="11"/>
      <name val="Myriad Pro"/>
    </font>
    <font>
      <sz val="11"/>
      <name val="Myriad Pro"/>
      <family val="2"/>
    </font>
    <font>
      <b/>
      <sz val="11"/>
      <name val="Myriad Pro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0"/>
      <name val="Calibri"/>
      <family val="2"/>
      <scheme val="minor"/>
    </font>
    <font>
      <b/>
      <sz val="12"/>
      <name val="Myriad Pro"/>
    </font>
    <font>
      <sz val="11"/>
      <color theme="1"/>
      <name val="Myriad Pro"/>
    </font>
    <font>
      <b/>
      <sz val="20"/>
      <name val="Myriad Pro"/>
    </font>
    <font>
      <sz val="12"/>
      <name val="Myriad Pro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2"/>
      <color theme="1"/>
      <name val="Myriad Pro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rgb="FFF0F0F0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2" fillId="0" borderId="0"/>
  </cellStyleXfs>
  <cellXfs count="250">
    <xf numFmtId="0" fontId="0" fillId="0" borderId="0" xfId="0"/>
    <xf numFmtId="0" fontId="0" fillId="0" borderId="3" xfId="0" applyBorder="1" applyAlignment="1">
      <alignment horizontal="center"/>
    </xf>
    <xf numFmtId="165" fontId="3" fillId="0" borderId="3" xfId="4" applyBorder="1"/>
    <xf numFmtId="0" fontId="0" fillId="0" borderId="0" xfId="0" applyAlignment="1">
      <alignment horizontal="center"/>
    </xf>
    <xf numFmtId="165" fontId="3" fillId="0" borderId="0" xfId="4"/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4" fillId="0" borderId="5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165" fontId="4" fillId="0" borderId="0" xfId="4" applyFont="1"/>
    <xf numFmtId="165" fontId="4" fillId="0" borderId="6" xfId="4" applyFont="1" applyBorder="1"/>
    <xf numFmtId="0" fontId="3" fillId="0" borderId="0" xfId="0" applyFont="1"/>
    <xf numFmtId="0" fontId="7" fillId="0" borderId="0" xfId="0" applyFont="1" applyAlignment="1">
      <alignment horizontal="center" vertical="center"/>
    </xf>
    <xf numFmtId="165" fontId="3" fillId="0" borderId="0" xfId="4" applyAlignment="1">
      <alignment horizont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170" fontId="4" fillId="0" borderId="11" xfId="0" applyNumberFormat="1" applyFont="1" applyBorder="1" applyAlignment="1">
      <alignment horizontal="left"/>
    </xf>
    <xf numFmtId="4" fontId="5" fillId="0" borderId="6" xfId="0" applyNumberFormat="1" applyFont="1" applyBorder="1" applyAlignment="1">
      <alignment horizontal="center"/>
    </xf>
    <xf numFmtId="170" fontId="4" fillId="0" borderId="6" xfId="0" applyNumberFormat="1" applyFont="1" applyBorder="1" applyAlignment="1">
      <alignment horizontal="left"/>
    </xf>
    <xf numFmtId="0" fontId="6" fillId="4" borderId="7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167" fontId="6" fillId="4" borderId="12" xfId="0" applyNumberFormat="1" applyFont="1" applyFill="1" applyBorder="1" applyAlignment="1">
      <alignment horizontal="center" vertical="center"/>
    </xf>
    <xf numFmtId="1" fontId="6" fillId="4" borderId="12" xfId="0" applyNumberFormat="1" applyFont="1" applyFill="1" applyBorder="1" applyAlignment="1">
      <alignment horizontal="center" vertical="center"/>
    </xf>
    <xf numFmtId="1" fontId="6" fillId="4" borderId="8" xfId="0" applyNumberFormat="1" applyFont="1" applyFill="1" applyBorder="1" applyAlignment="1">
      <alignment horizontal="center" vertical="center"/>
    </xf>
    <xf numFmtId="0" fontId="10" fillId="0" borderId="2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0" xfId="0" applyFont="1"/>
    <xf numFmtId="0" fontId="5" fillId="0" borderId="5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6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12" fillId="0" borderId="5" xfId="0" applyFont="1" applyBorder="1"/>
    <xf numFmtId="0" fontId="4" fillId="0" borderId="4" xfId="0" applyFont="1" applyBorder="1"/>
    <xf numFmtId="0" fontId="4" fillId="0" borderId="15" xfId="0" applyFont="1" applyBorder="1" applyAlignment="1">
      <alignment horizontal="left"/>
    </xf>
    <xf numFmtId="0" fontId="12" fillId="4" borderId="7" xfId="0" applyFont="1" applyFill="1" applyBorder="1"/>
    <xf numFmtId="0" fontId="4" fillId="4" borderId="12" xfId="0" applyFont="1" applyFill="1" applyBorder="1"/>
    <xf numFmtId="0" fontId="4" fillId="4" borderId="8" xfId="0" applyFont="1" applyFill="1" applyBorder="1"/>
    <xf numFmtId="0" fontId="14" fillId="0" borderId="0" xfId="0" applyFont="1" applyAlignment="1">
      <alignment horizontal="right"/>
    </xf>
    <xf numFmtId="6" fontId="15" fillId="0" borderId="0" xfId="0" applyNumberFormat="1" applyFont="1" applyAlignment="1">
      <alignment horizontal="center"/>
    </xf>
    <xf numFmtId="6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6" fontId="8" fillId="0" borderId="0" xfId="1" applyNumberFormat="1" applyFont="1" applyFill="1" applyBorder="1" applyAlignment="1">
      <alignment horizontal="right" vertical="center"/>
    </xf>
    <xf numFmtId="0" fontId="18" fillId="0" borderId="0" xfId="6" quotePrefix="1"/>
    <xf numFmtId="0" fontId="16" fillId="0" borderId="0" xfId="0" applyFont="1" applyAlignment="1">
      <alignment horizontal="center"/>
    </xf>
    <xf numFmtId="0" fontId="20" fillId="7" borderId="0" xfId="7" applyFont="1" applyFill="1" applyAlignment="1">
      <alignment horizontal="center" vertical="center"/>
    </xf>
    <xf numFmtId="0" fontId="20" fillId="7" borderId="0" xfId="7" applyFont="1" applyFill="1" applyAlignment="1">
      <alignment horizontal="center" vertical="center" wrapText="1"/>
    </xf>
    <xf numFmtId="49" fontId="21" fillId="8" borderId="0" xfId="7" applyNumberFormat="1" applyFont="1" applyFill="1" applyAlignment="1">
      <alignment vertical="center"/>
    </xf>
    <xf numFmtId="49" fontId="21" fillId="6" borderId="0" xfId="7" applyNumberFormat="1" applyFont="1" applyFill="1" applyAlignment="1">
      <alignment vertical="center"/>
    </xf>
    <xf numFmtId="49" fontId="21" fillId="6" borderId="0" xfId="7" applyNumberFormat="1" applyFont="1" applyFill="1" applyAlignment="1">
      <alignment horizontal="center" vertical="center"/>
    </xf>
    <xf numFmtId="3" fontId="22" fillId="6" borderId="0" xfId="7" applyNumberFormat="1" applyFont="1" applyFill="1" applyAlignment="1">
      <alignment vertical="center"/>
    </xf>
    <xf numFmtId="49" fontId="19" fillId="0" borderId="0" xfId="7" applyNumberFormat="1" applyAlignment="1">
      <alignment vertical="center"/>
    </xf>
    <xf numFmtId="49" fontId="19" fillId="0" borderId="0" xfId="7" applyNumberFormat="1" applyAlignment="1">
      <alignment horizontal="center" vertical="center"/>
    </xf>
    <xf numFmtId="49" fontId="19" fillId="0" borderId="0" xfId="7" applyNumberFormat="1" applyAlignment="1">
      <alignment vertical="center" wrapText="1"/>
    </xf>
    <xf numFmtId="172" fontId="19" fillId="0" borderId="0" xfId="7" applyNumberFormat="1" applyAlignment="1">
      <alignment vertical="center"/>
    </xf>
    <xf numFmtId="3" fontId="19" fillId="0" borderId="0" xfId="7" applyNumberFormat="1" applyAlignment="1">
      <alignment vertical="center"/>
    </xf>
    <xf numFmtId="3" fontId="23" fillId="0" borderId="0" xfId="7" applyNumberFormat="1" applyFont="1" applyAlignment="1">
      <alignment vertical="center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center" vertical="top"/>
    </xf>
    <xf numFmtId="49" fontId="21" fillId="0" borderId="0" xfId="7" applyNumberFormat="1" applyFont="1" applyAlignment="1">
      <alignment horizontal="right" vertical="center" wrapText="1"/>
    </xf>
    <xf numFmtId="3" fontId="24" fillId="0" borderId="0" xfId="7" applyNumberFormat="1" applyFont="1" applyAlignment="1">
      <alignment vertical="center"/>
    </xf>
    <xf numFmtId="49" fontId="19" fillId="0" borderId="0" xfId="0" applyNumberFormat="1" applyFont="1" applyAlignment="1">
      <alignment vertical="top"/>
    </xf>
    <xf numFmtId="6" fontId="0" fillId="0" borderId="1" xfId="2" applyNumberFormat="1" applyFont="1" applyBorder="1"/>
    <xf numFmtId="0" fontId="16" fillId="9" borderId="1" xfId="0" applyFont="1" applyFill="1" applyBorder="1" applyAlignment="1">
      <alignment horizontal="center"/>
    </xf>
    <xf numFmtId="0" fontId="17" fillId="0" borderId="0" xfId="0" applyFont="1"/>
    <xf numFmtId="6" fontId="16" fillId="0" borderId="1" xfId="2" applyNumberFormat="1" applyFont="1" applyBorder="1"/>
    <xf numFmtId="6" fontId="16" fillId="9" borderId="1" xfId="0" applyNumberFormat="1" applyFont="1" applyFill="1" applyBorder="1"/>
    <xf numFmtId="0" fontId="18" fillId="0" borderId="0" xfId="6" applyAlignment="1">
      <alignment horizontal="center"/>
    </xf>
    <xf numFmtId="167" fontId="22" fillId="6" borderId="0" xfId="7" applyNumberFormat="1" applyFont="1" applyFill="1" applyAlignment="1">
      <alignment vertical="center"/>
    </xf>
    <xf numFmtId="0" fontId="9" fillId="3" borderId="1" xfId="0" applyFont="1" applyFill="1" applyBorder="1" applyAlignment="1">
      <alignment horizontal="center"/>
    </xf>
    <xf numFmtId="173" fontId="0" fillId="0" borderId="1" xfId="0" applyNumberFormat="1" applyBorder="1"/>
    <xf numFmtId="6" fontId="9" fillId="3" borderId="1" xfId="0" applyNumberFormat="1" applyFont="1" applyFill="1" applyBorder="1"/>
    <xf numFmtId="9" fontId="16" fillId="0" borderId="0" xfId="3" applyFont="1" applyAlignment="1">
      <alignment horizontal="center"/>
    </xf>
    <xf numFmtId="0" fontId="25" fillId="0" borderId="2" xfId="0" applyFont="1" applyBorder="1"/>
    <xf numFmtId="0" fontId="25" fillId="0" borderId="3" xfId="0" applyFont="1" applyBorder="1"/>
    <xf numFmtId="0" fontId="25" fillId="0" borderId="3" xfId="0" applyFont="1" applyBorder="1" applyAlignment="1">
      <alignment horizontal="center"/>
    </xf>
    <xf numFmtId="2" fontId="25" fillId="0" borderId="3" xfId="0" applyNumberFormat="1" applyFont="1" applyBorder="1" applyAlignment="1">
      <alignment horizontal="center"/>
    </xf>
    <xf numFmtId="168" fontId="25" fillId="0" borderId="3" xfId="2" applyNumberFormat="1" applyFont="1" applyBorder="1"/>
    <xf numFmtId="169" fontId="25" fillId="0" borderId="4" xfId="2" applyNumberFormat="1" applyFont="1" applyBorder="1"/>
    <xf numFmtId="0" fontId="26" fillId="3" borderId="5" xfId="0" applyFont="1" applyFill="1" applyBorder="1" applyAlignment="1">
      <alignment horizontal="left"/>
    </xf>
    <xf numFmtId="0" fontId="27" fillId="3" borderId="0" xfId="0" applyFont="1" applyFill="1"/>
    <xf numFmtId="0" fontId="27" fillId="3" borderId="0" xfId="0" applyFont="1" applyFill="1" applyAlignment="1">
      <alignment horizontal="center"/>
    </xf>
    <xf numFmtId="164" fontId="28" fillId="3" borderId="0" xfId="1" applyNumberFormat="1" applyFont="1" applyFill="1" applyBorder="1" applyAlignment="1"/>
    <xf numFmtId="6" fontId="28" fillId="3" borderId="0" xfId="1" applyNumberFormat="1" applyFont="1" applyFill="1" applyBorder="1" applyAlignment="1">
      <alignment horizontal="right" vertical="center"/>
    </xf>
    <xf numFmtId="6" fontId="28" fillId="3" borderId="6" xfId="4" applyNumberFormat="1" applyFont="1" applyFill="1" applyBorder="1" applyAlignment="1">
      <alignment horizontal="right"/>
    </xf>
    <xf numFmtId="0" fontId="29" fillId="0" borderId="5" xfId="0" applyFont="1" applyBorder="1" applyAlignment="1">
      <alignment horizontal="left"/>
    </xf>
    <xf numFmtId="0" fontId="25" fillId="0" borderId="0" xfId="0" applyFont="1"/>
    <xf numFmtId="0" fontId="30" fillId="0" borderId="0" xfId="0" applyFont="1" applyAlignment="1">
      <alignment horizontal="center"/>
    </xf>
    <xf numFmtId="164" fontId="31" fillId="0" borderId="0" xfId="1" applyNumberFormat="1" applyFont="1" applyBorder="1" applyAlignment="1"/>
    <xf numFmtId="6" fontId="31" fillId="0" borderId="0" xfId="1" applyNumberFormat="1" applyFont="1" applyFill="1" applyBorder="1" applyAlignment="1">
      <alignment horizontal="right" vertical="center"/>
    </xf>
    <xf numFmtId="6" fontId="31" fillId="0" borderId="6" xfId="4" applyNumberFormat="1" applyFont="1" applyBorder="1" applyAlignment="1">
      <alignment horizontal="right"/>
    </xf>
    <xf numFmtId="6" fontId="31" fillId="2" borderId="0" xfId="1" applyNumberFormat="1" applyFont="1" applyFill="1" applyBorder="1" applyAlignment="1">
      <alignment horizontal="right" vertical="center"/>
    </xf>
    <xf numFmtId="0" fontId="29" fillId="0" borderId="5" xfId="0" applyFont="1" applyBorder="1" applyAlignment="1">
      <alignment horizontal="right"/>
    </xf>
    <xf numFmtId="6" fontId="28" fillId="5" borderId="0" xfId="1" applyNumberFormat="1" applyFont="1" applyFill="1" applyBorder="1" applyAlignment="1">
      <alignment vertical="center"/>
    </xf>
    <xf numFmtId="6" fontId="28" fillId="5" borderId="6" xfId="4" applyNumberFormat="1" applyFont="1" applyFill="1" applyBorder="1" applyAlignment="1">
      <alignment horizontal="right"/>
    </xf>
    <xf numFmtId="0" fontId="30" fillId="0" borderId="0" xfId="0" applyFont="1"/>
    <xf numFmtId="6" fontId="28" fillId="2" borderId="0" xfId="1" applyNumberFormat="1" applyFont="1" applyFill="1" applyBorder="1" applyAlignment="1">
      <alignment vertical="center"/>
    </xf>
    <xf numFmtId="9" fontId="32" fillId="0" borderId="0" xfId="3" applyFont="1" applyBorder="1" applyAlignment="1">
      <alignment horizontal="left"/>
    </xf>
    <xf numFmtId="6" fontId="28" fillId="0" borderId="6" xfId="4" applyNumberFormat="1" applyFont="1" applyBorder="1" applyAlignment="1">
      <alignment horizontal="right"/>
    </xf>
    <xf numFmtId="0" fontId="27" fillId="5" borderId="0" xfId="0" applyFont="1" applyFill="1" applyAlignment="1">
      <alignment horizontal="center"/>
    </xf>
    <xf numFmtId="6" fontId="28" fillId="0" borderId="0" xfId="1" applyNumberFormat="1" applyFont="1" applyFill="1" applyBorder="1" applyAlignment="1">
      <alignment vertical="center"/>
    </xf>
    <xf numFmtId="0" fontId="25" fillId="0" borderId="5" xfId="0" applyFont="1" applyBorder="1"/>
    <xf numFmtId="165" fontId="33" fillId="5" borderId="0" xfId="4" applyFont="1" applyFill="1" applyBorder="1" applyAlignment="1"/>
    <xf numFmtId="165" fontId="34" fillId="5" borderId="0" xfId="4" applyFont="1" applyFill="1" applyBorder="1"/>
    <xf numFmtId="0" fontId="25" fillId="0" borderId="9" xfId="0" applyFont="1" applyBorder="1"/>
    <xf numFmtId="0" fontId="25" fillId="0" borderId="10" xfId="0" applyFont="1" applyBorder="1"/>
    <xf numFmtId="0" fontId="25" fillId="0" borderId="10" xfId="0" applyFont="1" applyBorder="1" applyAlignment="1">
      <alignment horizontal="center"/>
    </xf>
    <xf numFmtId="165" fontId="25" fillId="0" borderId="10" xfId="4" applyFont="1" applyBorder="1"/>
    <xf numFmtId="165" fontId="25" fillId="0" borderId="11" xfId="4" applyFont="1" applyBorder="1"/>
    <xf numFmtId="0" fontId="35" fillId="0" borderId="0" xfId="0" applyFont="1" applyAlignment="1">
      <alignment horizontal="left"/>
    </xf>
    <xf numFmtId="165" fontId="36" fillId="0" borderId="3" xfId="4" applyFont="1" applyBorder="1" applyAlignment="1">
      <alignment horizontal="right" vertical="center"/>
    </xf>
    <xf numFmtId="14" fontId="37" fillId="0" borderId="4" xfId="0" applyNumberFormat="1" applyFont="1" applyBorder="1" applyAlignment="1">
      <alignment horizontal="center" vertical="center"/>
    </xf>
    <xf numFmtId="165" fontId="38" fillId="0" borderId="0" xfId="4" applyFont="1" applyAlignment="1">
      <alignment horizontal="right" vertical="center"/>
    </xf>
    <xf numFmtId="0" fontId="39" fillId="0" borderId="6" xfId="4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4" fontId="21" fillId="0" borderId="0" xfId="7" applyNumberFormat="1" applyFont="1" applyAlignment="1">
      <alignment vertical="center"/>
    </xf>
    <xf numFmtId="20" fontId="9" fillId="0" borderId="0" xfId="0" applyNumberFormat="1" applyFont="1"/>
    <xf numFmtId="20" fontId="0" fillId="0" borderId="0" xfId="0" applyNumberFormat="1"/>
    <xf numFmtId="0" fontId="9" fillId="0" borderId="16" xfId="0" applyFont="1" applyBorder="1"/>
    <xf numFmtId="0" fontId="9" fillId="0" borderId="22" xfId="0" applyFont="1" applyBorder="1"/>
    <xf numFmtId="0" fontId="9" fillId="0" borderId="23" xfId="0" applyFont="1" applyBorder="1"/>
    <xf numFmtId="16" fontId="0" fillId="0" borderId="0" xfId="0" applyNumberFormat="1"/>
    <xf numFmtId="0" fontId="26" fillId="0" borderId="5" xfId="0" applyFont="1" applyBorder="1" applyAlignment="1">
      <alignment horizontal="left"/>
    </xf>
    <xf numFmtId="0" fontId="41" fillId="0" borderId="0" xfId="0" applyFont="1"/>
    <xf numFmtId="41" fontId="31" fillId="0" borderId="0" xfId="1" applyFont="1" applyBorder="1" applyAlignment="1"/>
    <xf numFmtId="41" fontId="27" fillId="3" borderId="0" xfId="0" applyNumberFormat="1" applyFont="1" applyFill="1"/>
    <xf numFmtId="0" fontId="16" fillId="0" borderId="1" xfId="0" applyFont="1" applyBorder="1" applyAlignment="1">
      <alignment horizontal="center" vertical="center"/>
    </xf>
    <xf numFmtId="6" fontId="17" fillId="0" borderId="1" xfId="0" applyNumberFormat="1" applyFont="1" applyBorder="1" applyAlignment="1">
      <alignment vertical="center"/>
    </xf>
    <xf numFmtId="6" fontId="17" fillId="0" borderId="0" xfId="0" applyNumberFormat="1" applyFont="1"/>
    <xf numFmtId="6" fontId="17" fillId="0" borderId="24" xfId="0" applyNumberFormat="1" applyFont="1" applyBorder="1" applyAlignment="1">
      <alignment vertical="center"/>
    </xf>
    <xf numFmtId="0" fontId="42" fillId="0" borderId="0" xfId="0" applyFont="1"/>
    <xf numFmtId="0" fontId="43" fillId="0" borderId="3" xfId="0" applyFont="1" applyBorder="1"/>
    <xf numFmtId="0" fontId="43" fillId="0" borderId="0" xfId="0" applyFont="1"/>
    <xf numFmtId="0" fontId="12" fillId="0" borderId="0" xfId="0" applyFont="1" applyAlignment="1">
      <alignment horizontal="center"/>
    </xf>
    <xf numFmtId="0" fontId="11" fillId="0" borderId="0" xfId="0" applyFont="1"/>
    <xf numFmtId="0" fontId="44" fillId="0" borderId="3" xfId="0" applyFont="1" applyBorder="1"/>
    <xf numFmtId="49" fontId="26" fillId="3" borderId="0" xfId="0" applyNumberFormat="1" applyFont="1" applyFill="1"/>
    <xf numFmtId="0" fontId="44" fillId="0" borderId="0" xfId="0" applyFont="1"/>
    <xf numFmtId="0" fontId="44" fillId="0" borderId="10" xfId="0" applyFont="1" applyBorder="1"/>
    <xf numFmtId="0" fontId="11" fillId="4" borderId="12" xfId="0" applyFont="1" applyFill="1" applyBorder="1"/>
    <xf numFmtId="0" fontId="11" fillId="0" borderId="10" xfId="0" applyFont="1" applyBorder="1"/>
    <xf numFmtId="0" fontId="6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1" fontId="21" fillId="6" borderId="0" xfId="7" applyNumberFormat="1" applyFont="1" applyFill="1" applyAlignment="1">
      <alignment horizontal="center" vertical="center"/>
    </xf>
    <xf numFmtId="1" fontId="21" fillId="6" borderId="0" xfId="7" applyNumberFormat="1" applyFont="1" applyFill="1" applyAlignment="1">
      <alignment vertical="center"/>
    </xf>
    <xf numFmtId="42" fontId="19" fillId="0" borderId="1" xfId="2" applyFont="1" applyBorder="1" applyAlignment="1">
      <alignment vertical="center" wrapText="1"/>
    </xf>
    <xf numFmtId="42" fontId="19" fillId="0" borderId="1" xfId="2" applyFont="1" applyBorder="1" applyAlignment="1">
      <alignment vertical="center"/>
    </xf>
    <xf numFmtId="42" fontId="0" fillId="0" borderId="1" xfId="0" applyNumberFormat="1" applyBorder="1"/>
    <xf numFmtId="49" fontId="19" fillId="0" borderId="17" xfId="7" applyNumberFormat="1" applyBorder="1" applyAlignment="1">
      <alignment vertical="center" wrapText="1"/>
    </xf>
    <xf numFmtId="42" fontId="19" fillId="0" borderId="18" xfId="2" applyFont="1" applyBorder="1" applyAlignment="1">
      <alignment vertical="center"/>
    </xf>
    <xf numFmtId="49" fontId="19" fillId="0" borderId="19" xfId="7" applyNumberFormat="1" applyBorder="1" applyAlignment="1">
      <alignment vertical="center" wrapText="1"/>
    </xf>
    <xf numFmtId="42" fontId="19" fillId="0" borderId="20" xfId="2" applyFont="1" applyBorder="1" applyAlignment="1">
      <alignment vertical="center" wrapText="1"/>
    </xf>
    <xf numFmtId="42" fontId="0" fillId="0" borderId="21" xfId="0" applyNumberFormat="1" applyBorder="1"/>
    <xf numFmtId="42" fontId="19" fillId="0" borderId="18" xfId="2" applyFont="1" applyBorder="1" applyAlignment="1">
      <alignment vertical="center" wrapText="1"/>
    </xf>
    <xf numFmtId="42" fontId="0" fillId="0" borderId="20" xfId="0" applyNumberFormat="1" applyBorder="1"/>
    <xf numFmtId="42" fontId="19" fillId="0" borderId="21" xfId="2" applyFont="1" applyBorder="1" applyAlignment="1">
      <alignment vertical="center" wrapText="1"/>
    </xf>
    <xf numFmtId="42" fontId="19" fillId="0" borderId="21" xfId="2" applyFont="1" applyBorder="1" applyAlignment="1">
      <alignment vertical="center"/>
    </xf>
    <xf numFmtId="42" fontId="0" fillId="0" borderId="0" xfId="2" applyFont="1"/>
    <xf numFmtId="0" fontId="9" fillId="0" borderId="7" xfId="0" applyFont="1" applyBorder="1"/>
    <xf numFmtId="42" fontId="0" fillId="0" borderId="8" xfId="2" applyFont="1" applyBorder="1"/>
    <xf numFmtId="49" fontId="19" fillId="0" borderId="25" xfId="7" applyNumberFormat="1" applyBorder="1" applyAlignment="1">
      <alignment vertical="center" wrapText="1"/>
    </xf>
    <xf numFmtId="42" fontId="19" fillId="0" borderId="26" xfId="2" applyFont="1" applyBorder="1" applyAlignment="1">
      <alignment vertical="center"/>
    </xf>
    <xf numFmtId="49" fontId="19" fillId="0" borderId="27" xfId="7" applyNumberFormat="1" applyBorder="1" applyAlignment="1">
      <alignment vertical="center" wrapText="1"/>
    </xf>
    <xf numFmtId="42" fontId="19" fillId="0" borderId="28" xfId="2" applyFont="1" applyFill="1" applyBorder="1" applyAlignment="1">
      <alignment vertical="center"/>
    </xf>
    <xf numFmtId="41" fontId="0" fillId="0" borderId="0" xfId="1" applyFont="1"/>
    <xf numFmtId="0" fontId="9" fillId="0" borderId="0" xfId="0" applyFont="1"/>
    <xf numFmtId="0" fontId="31" fillId="0" borderId="0" xfId="0" applyFont="1"/>
    <xf numFmtId="174" fontId="2" fillId="0" borderId="0" xfId="1" applyNumberFormat="1" applyFont="1" applyFill="1" applyBorder="1"/>
    <xf numFmtId="175" fontId="32" fillId="0" borderId="0" xfId="3" applyNumberFormat="1" applyFont="1" applyBorder="1" applyAlignment="1">
      <alignment horizontal="left"/>
    </xf>
    <xf numFmtId="173" fontId="2" fillId="0" borderId="0" xfId="1" applyNumberFormat="1" applyFont="1" applyFill="1" applyBorder="1"/>
    <xf numFmtId="173" fontId="31" fillId="0" borderId="0" xfId="0" applyNumberFormat="1" applyFont="1" applyAlignment="1">
      <alignment horizontal="right"/>
    </xf>
    <xf numFmtId="173" fontId="2" fillId="0" borderId="0" xfId="1" applyNumberFormat="1" applyFont="1" applyFill="1" applyBorder="1" applyAlignment="1">
      <alignment horizontal="right"/>
    </xf>
    <xf numFmtId="173" fontId="45" fillId="0" borderId="0" xfId="1" applyNumberFormat="1" applyFont="1" applyFill="1" applyBorder="1" applyAlignment="1">
      <alignment horizontal="right"/>
    </xf>
    <xf numFmtId="173" fontId="40" fillId="0" borderId="0" xfId="1" applyNumberFormat="1" applyFont="1" applyFill="1" applyBorder="1" applyAlignment="1">
      <alignment horizontal="right"/>
    </xf>
    <xf numFmtId="173" fontId="2" fillId="0" borderId="0" xfId="1" applyNumberFormat="1" applyFont="1" applyFill="1" applyBorder="1" applyAlignment="1">
      <alignment horizontal="right" vertical="center"/>
    </xf>
    <xf numFmtId="173" fontId="2" fillId="0" borderId="0" xfId="1" applyNumberFormat="1" applyFont="1" applyFill="1" applyBorder="1" applyAlignment="1" applyProtection="1">
      <alignment horizontal="right"/>
      <protection locked="0"/>
    </xf>
    <xf numFmtId="173" fontId="46" fillId="0" borderId="0" xfId="1" applyNumberFormat="1" applyFont="1" applyFill="1" applyBorder="1" applyAlignment="1">
      <alignment horizontal="right"/>
    </xf>
    <xf numFmtId="0" fontId="47" fillId="0" borderId="0" xfId="0" applyFont="1"/>
    <xf numFmtId="173" fontId="28" fillId="0" borderId="0" xfId="0" applyNumberFormat="1" applyFont="1" applyAlignment="1">
      <alignment horizontal="right"/>
    </xf>
    <xf numFmtId="173" fontId="47" fillId="0" borderId="0" xfId="0" applyNumberFormat="1" applyFont="1"/>
    <xf numFmtId="0" fontId="28" fillId="0" borderId="0" xfId="0" applyFont="1" applyAlignment="1">
      <alignment horizontal="center"/>
    </xf>
    <xf numFmtId="174" fontId="9" fillId="0" borderId="0" xfId="1" applyNumberFormat="1" applyFont="1" applyFill="1" applyBorder="1" applyAlignment="1">
      <alignment horizontal="center"/>
    </xf>
    <xf numFmtId="173" fontId="9" fillId="0" borderId="0" xfId="1" applyNumberFormat="1" applyFont="1" applyFill="1" applyBorder="1" applyAlignment="1">
      <alignment horizontal="right"/>
    </xf>
    <xf numFmtId="9" fontId="9" fillId="0" borderId="0" xfId="3" applyFont="1" applyAlignment="1">
      <alignment horizontal="center"/>
    </xf>
    <xf numFmtId="3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7" fillId="0" borderId="0" xfId="0" applyFont="1"/>
    <xf numFmtId="6" fontId="8" fillId="0" borderId="32" xfId="1" applyNumberFormat="1" applyFont="1" applyFill="1" applyBorder="1" applyAlignment="1">
      <alignment horizontal="right" vertical="center"/>
    </xf>
    <xf numFmtId="0" fontId="0" fillId="0" borderId="34" xfId="0" applyBorder="1"/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6" fontId="28" fillId="3" borderId="1" xfId="4" applyNumberFormat="1" applyFont="1" applyFill="1" applyBorder="1" applyAlignment="1">
      <alignment horizontal="right"/>
    </xf>
    <xf numFmtId="6" fontId="8" fillId="0" borderId="29" xfId="1" applyNumberFormat="1" applyFont="1" applyFill="1" applyBorder="1" applyAlignment="1">
      <alignment horizontal="right" vertical="center"/>
    </xf>
    <xf numFmtId="6" fontId="8" fillId="0" borderId="30" xfId="1" applyNumberFormat="1" applyFont="1" applyFill="1" applyBorder="1" applyAlignment="1">
      <alignment horizontal="right" vertical="center"/>
    </xf>
    <xf numFmtId="6" fontId="48" fillId="0" borderId="31" xfId="1" applyNumberFormat="1" applyFont="1" applyFill="1" applyBorder="1" applyAlignment="1">
      <alignment horizontal="right" vertical="center"/>
    </xf>
    <xf numFmtId="6" fontId="8" fillId="0" borderId="33" xfId="1" applyNumberFormat="1" applyFont="1" applyFill="1" applyBorder="1" applyAlignment="1">
      <alignment horizontal="right" vertical="center"/>
    </xf>
    <xf numFmtId="6" fontId="48" fillId="0" borderId="33" xfId="1" applyNumberFormat="1" applyFont="1" applyFill="1" applyBorder="1" applyAlignment="1">
      <alignment horizontal="right" vertical="center"/>
    </xf>
    <xf numFmtId="6" fontId="28" fillId="5" borderId="0" xfId="4" applyNumberFormat="1" applyFont="1" applyFill="1" applyBorder="1" applyAlignment="1">
      <alignment horizontal="right"/>
    </xf>
    <xf numFmtId="6" fontId="28" fillId="0" borderId="0" xfId="4" applyNumberFormat="1" applyFont="1" applyBorder="1" applyAlignment="1">
      <alignment horizontal="right"/>
    </xf>
    <xf numFmtId="6" fontId="28" fillId="0" borderId="0" xfId="4" applyNumberFormat="1" applyFont="1" applyFill="1" applyBorder="1" applyAlignment="1">
      <alignment horizontal="right"/>
    </xf>
    <xf numFmtId="6" fontId="16" fillId="0" borderId="1" xfId="0" applyNumberFormat="1" applyFont="1" applyBorder="1"/>
    <xf numFmtId="6" fontId="49" fillId="0" borderId="0" xfId="0" applyNumberFormat="1" applyFont="1" applyAlignment="1">
      <alignment horizontal="center"/>
    </xf>
    <xf numFmtId="0" fontId="50" fillId="0" borderId="0" xfId="0" applyFont="1" applyAlignment="1">
      <alignment horizontal="center"/>
    </xf>
    <xf numFmtId="6" fontId="50" fillId="0" borderId="0" xfId="0" applyNumberFormat="1" applyFont="1"/>
    <xf numFmtId="0" fontId="50" fillId="0" borderId="0" xfId="0" applyFont="1"/>
    <xf numFmtId="0" fontId="1" fillId="0" borderId="0" xfId="0" applyFont="1" applyAlignment="1">
      <alignment horizontal="center"/>
    </xf>
    <xf numFmtId="9" fontId="27" fillId="5" borderId="0" xfId="0" applyNumberFormat="1" applyFont="1" applyFill="1" applyAlignment="1">
      <alignment horizontal="center"/>
    </xf>
    <xf numFmtId="17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4" fillId="0" borderId="0" xfId="0" applyFont="1" applyAlignment="1">
      <alignment horizontal="left"/>
    </xf>
    <xf numFmtId="166" fontId="33" fillId="0" borderId="5" xfId="0" applyNumberFormat="1" applyFont="1" applyBorder="1" applyAlignment="1">
      <alignment horizontal="center"/>
    </xf>
    <xf numFmtId="166" fontId="33" fillId="0" borderId="0" xfId="0" applyNumberFormat="1" applyFont="1" applyAlignment="1">
      <alignment horizontal="center"/>
    </xf>
    <xf numFmtId="166" fontId="33" fillId="0" borderId="6" xfId="0" applyNumberFormat="1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6" xfId="0" applyFont="1" applyBorder="1" applyAlignment="1">
      <alignment horizontal="center"/>
    </xf>
    <xf numFmtId="0" fontId="6" fillId="4" borderId="12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165" fontId="13" fillId="4" borderId="7" xfId="4" applyFont="1" applyFill="1" applyBorder="1" applyAlignment="1">
      <alignment horizontal="center"/>
    </xf>
    <xf numFmtId="165" fontId="13" fillId="4" borderId="12" xfId="4" applyFont="1" applyFill="1" applyBorder="1" applyAlignment="1">
      <alignment horizontal="center"/>
    </xf>
    <xf numFmtId="165" fontId="13" fillId="4" borderId="8" xfId="4" applyFont="1" applyFill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4" fontId="9" fillId="0" borderId="0" xfId="1" applyNumberFormat="1" applyFont="1" applyFill="1" applyBorder="1" applyAlignment="1">
      <alignment horizontal="center"/>
    </xf>
    <xf numFmtId="166" fontId="51" fillId="0" borderId="5" xfId="0" applyNumberFormat="1" applyFont="1" applyBorder="1" applyAlignment="1">
      <alignment horizontal="center"/>
    </xf>
    <xf numFmtId="166" fontId="51" fillId="0" borderId="0" xfId="0" applyNumberFormat="1" applyFont="1" applyAlignment="1">
      <alignment horizontal="center"/>
    </xf>
    <xf numFmtId="166" fontId="51" fillId="0" borderId="6" xfId="0" applyNumberFormat="1" applyFont="1" applyBorder="1" applyAlignment="1">
      <alignment horizontal="center"/>
    </xf>
    <xf numFmtId="0" fontId="51" fillId="0" borderId="5" xfId="0" applyFont="1" applyBorder="1" applyAlignment="1">
      <alignment horizontal="center"/>
    </xf>
    <xf numFmtId="0" fontId="51" fillId="0" borderId="0" xfId="0" applyFont="1" applyAlignment="1">
      <alignment horizontal="center"/>
    </xf>
    <xf numFmtId="0" fontId="51" fillId="0" borderId="6" xfId="0" applyFont="1" applyBorder="1" applyAlignment="1">
      <alignment horizontal="center"/>
    </xf>
  </cellXfs>
  <cellStyles count="9">
    <cellStyle name="Hipervínculo" xfId="6" builtinId="8"/>
    <cellStyle name="Millares [0]" xfId="1" builtinId="6"/>
    <cellStyle name="Millares_Presupuestos Extras Gral Jofre" xfId="4" xr:uid="{00000000-0005-0000-0000-000002000000}"/>
    <cellStyle name="Moneda [0]" xfId="2" builtinId="7"/>
    <cellStyle name="Moneda [0] 2" xfId="5" xr:uid="{00000000-0005-0000-0000-000005000000}"/>
    <cellStyle name="Normal" xfId="0" builtinId="0"/>
    <cellStyle name="Normal 2" xfId="7" xr:uid="{B50A9342-E19E-4DB8-9329-1DAA4A1C36C8}"/>
    <cellStyle name="Normal 21" xfId="8" xr:uid="{17640601-1900-4427-A380-FFBD6C54CA6C}"/>
    <cellStyle name="Porcentaje" xfId="3" builtinId="5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calcChain" Target="calcChain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customXml" Target="../customXml/item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customXml" Target="../customXml/item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465667</xdr:colOff>
      <xdr:row>1</xdr:row>
      <xdr:rowOff>84666</xdr:rowOff>
    </xdr:from>
    <xdr:to>
      <xdr:col>3</xdr:col>
      <xdr:colOff>876028</xdr:colOff>
      <xdr:row>5</xdr:row>
      <xdr:rowOff>131218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1145A0D-6B9F-41BE-870A-FA4F8C4B0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084" y="275166"/>
          <a:ext cx="1737511" cy="8047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465667</xdr:colOff>
      <xdr:row>1</xdr:row>
      <xdr:rowOff>84666</xdr:rowOff>
    </xdr:from>
    <xdr:to>
      <xdr:col>3</xdr:col>
      <xdr:colOff>431528</xdr:colOff>
      <xdr:row>5</xdr:row>
      <xdr:rowOff>131218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BD36D14A-6829-4C45-A291-44B7200D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467" y="275166"/>
          <a:ext cx="1797201" cy="8085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erver_personal/estudio$/Archivos%20de%20programa/TRABAJO/EXCEL/INFORMES/l-p-n&#176;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raje Mix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FAC2-FD9F-4E92-AF5D-6DDCACF34AB1}">
  <sheetPr>
    <pageSetUpPr fitToPage="1"/>
  </sheetPr>
  <dimension ref="B1:X230"/>
  <sheetViews>
    <sheetView showGridLines="0" tabSelected="1" view="pageBreakPreview" zoomScaleNormal="70" zoomScaleSheetLayoutView="100" workbookViewId="0">
      <selection activeCell="E9" sqref="E9"/>
    </sheetView>
  </sheetViews>
  <sheetFormatPr baseColWidth="10" defaultColWidth="11.5" defaultRowHeight="15"/>
  <cols>
    <col min="1" max="1" width="4.5" bestFit="1" customWidth="1"/>
    <col min="2" max="2" width="6.33203125" customWidth="1"/>
    <col min="3" max="3" width="13" style="135" customWidth="1"/>
    <col min="4" max="4" width="57" customWidth="1"/>
    <col min="5" max="5" width="20.6640625" customWidth="1"/>
    <col min="6" max="6" width="7.6640625" style="3" customWidth="1"/>
    <col min="7" max="7" width="12.6640625" style="4" bestFit="1" customWidth="1"/>
    <col min="8" max="8" width="13.83203125" style="4" customWidth="1"/>
    <col min="9" max="9" width="15.33203125" style="4" bestFit="1" customWidth="1"/>
    <col min="10" max="11" width="3.6640625" customWidth="1"/>
    <col min="12" max="12" width="7.6640625" customWidth="1"/>
    <col min="13" max="13" width="13.83203125" customWidth="1"/>
    <col min="14" max="16" width="13.83203125" style="3" customWidth="1"/>
    <col min="17" max="17" width="14" style="3" customWidth="1"/>
    <col min="18" max="18" width="7.6640625" customWidth="1"/>
    <col min="19" max="19" width="15.6640625" customWidth="1"/>
    <col min="20" max="20" width="13.1640625" bestFit="1" customWidth="1"/>
    <col min="21" max="21" width="5.6640625" customWidth="1"/>
    <col min="22" max="22" width="10.83203125" bestFit="1" customWidth="1"/>
    <col min="23" max="23" width="8" bestFit="1" customWidth="1"/>
    <col min="24" max="24" width="15.6640625" customWidth="1"/>
  </cols>
  <sheetData>
    <row r="1" spans="2:24" ht="15" customHeight="1" thickBot="1"/>
    <row r="2" spans="2:24" ht="15" customHeight="1">
      <c r="B2" s="27"/>
      <c r="C2" s="136"/>
      <c r="D2" s="28"/>
      <c r="E2" s="28"/>
      <c r="F2" s="1"/>
      <c r="G2" s="2"/>
      <c r="H2" s="115" t="s">
        <v>0</v>
      </c>
      <c r="I2" s="116">
        <v>45847</v>
      </c>
      <c r="S2" s="131" t="s">
        <v>49</v>
      </c>
      <c r="T2" s="132">
        <f>SUM(M15:M192)</f>
        <v>189474043.76236814</v>
      </c>
    </row>
    <row r="3" spans="2:24" ht="15" customHeight="1">
      <c r="B3" s="29"/>
      <c r="C3" s="137"/>
      <c r="D3" s="30"/>
      <c r="E3" s="30"/>
      <c r="H3" s="117" t="s">
        <v>1</v>
      </c>
      <c r="I3" s="118">
        <v>0</v>
      </c>
      <c r="S3" s="131" t="s">
        <v>40</v>
      </c>
      <c r="T3" s="132">
        <f>SUM(N15:N192)</f>
        <v>13405163.549874382</v>
      </c>
    </row>
    <row r="4" spans="2:24" ht="15" customHeight="1">
      <c r="B4" s="215" t="s">
        <v>656</v>
      </c>
      <c r="C4" s="216"/>
      <c r="D4" s="216"/>
      <c r="E4" s="216"/>
      <c r="F4" s="216"/>
      <c r="G4" s="216"/>
      <c r="H4" s="216"/>
      <c r="I4" s="217"/>
      <c r="S4" s="131" t="s">
        <v>57</v>
      </c>
      <c r="T4" s="132">
        <f>SUM(O15:O192)</f>
        <v>138013224.80899999</v>
      </c>
    </row>
    <row r="5" spans="2:24" ht="15" customHeight="1">
      <c r="B5" s="218" t="s">
        <v>651</v>
      </c>
      <c r="C5" s="219"/>
      <c r="D5" s="219"/>
      <c r="E5" s="219"/>
      <c r="F5" s="219"/>
      <c r="G5" s="219"/>
      <c r="H5" s="219"/>
      <c r="I5" s="220"/>
      <c r="S5" s="131" t="s">
        <v>48</v>
      </c>
      <c r="T5" s="134">
        <f>SUM(P15:P192)</f>
        <v>93257515.352390781</v>
      </c>
    </row>
    <row r="6" spans="2:24" ht="15" customHeight="1">
      <c r="B6" s="5"/>
      <c r="C6" s="138"/>
      <c r="D6" s="6"/>
      <c r="E6" s="6"/>
      <c r="F6" s="6"/>
      <c r="G6" s="6"/>
      <c r="H6" s="6"/>
      <c r="I6" s="7"/>
      <c r="N6" s="72"/>
      <c r="S6" s="49"/>
      <c r="T6" s="205">
        <f>SUM(T2:T5)</f>
        <v>434149947.47363329</v>
      </c>
      <c r="V6" s="206">
        <f>I195-T6</f>
        <v>3.3728480339050293E-3</v>
      </c>
    </row>
    <row r="7" spans="2:24" ht="15" customHeight="1">
      <c r="B7" s="31"/>
      <c r="C7" s="114" t="s">
        <v>10</v>
      </c>
      <c r="D7" s="214" t="s">
        <v>655</v>
      </c>
      <c r="E7" s="32"/>
      <c r="F7" s="6"/>
      <c r="G7" s="6"/>
      <c r="H7" s="6"/>
      <c r="I7" s="7"/>
      <c r="S7" s="49"/>
      <c r="T7" s="133"/>
    </row>
    <row r="8" spans="2:24" ht="15" customHeight="1">
      <c r="B8" s="31"/>
      <c r="C8" s="114" t="s">
        <v>11</v>
      </c>
      <c r="D8" s="214" t="s">
        <v>653</v>
      </c>
      <c r="E8" s="32"/>
      <c r="F8" s="6"/>
      <c r="G8" s="6"/>
      <c r="H8" s="8"/>
      <c r="I8" s="20"/>
      <c r="S8" s="49"/>
      <c r="T8" s="133"/>
    </row>
    <row r="9" spans="2:24" ht="15" customHeight="1">
      <c r="B9" s="31"/>
      <c r="C9" s="114" t="s">
        <v>13</v>
      </c>
      <c r="D9" s="214" t="s">
        <v>654</v>
      </c>
      <c r="E9" s="32"/>
      <c r="F9" s="6"/>
      <c r="G9" s="6"/>
      <c r="H9" s="8"/>
      <c r="I9" s="7"/>
      <c r="S9" s="49"/>
      <c r="T9" s="133"/>
    </row>
    <row r="10" spans="2:24" ht="15" customHeight="1">
      <c r="B10" s="31"/>
      <c r="C10" s="114" t="s">
        <v>12</v>
      </c>
      <c r="D10" s="214" t="s">
        <v>50</v>
      </c>
      <c r="E10" s="32"/>
      <c r="F10" s="11"/>
      <c r="G10" s="12"/>
      <c r="H10" s="12"/>
      <c r="I10" s="13"/>
    </row>
    <row r="11" spans="2:24" ht="15" customHeight="1" thickBot="1">
      <c r="B11" s="9"/>
      <c r="C11" s="139"/>
      <c r="D11" s="10"/>
      <c r="E11" s="10"/>
      <c r="F11" s="11"/>
      <c r="G11" s="12"/>
      <c r="H11" s="12"/>
      <c r="I11" s="13"/>
      <c r="J11" s="14"/>
      <c r="K11" s="14"/>
    </row>
    <row r="12" spans="2:24" s="15" customFormat="1" ht="15" customHeight="1" thickBot="1">
      <c r="B12" s="22" t="s">
        <v>2</v>
      </c>
      <c r="C12" s="221" t="s">
        <v>3</v>
      </c>
      <c r="D12" s="221"/>
      <c r="E12" s="23"/>
      <c r="F12" s="23" t="s">
        <v>4</v>
      </c>
      <c r="G12" s="24" t="s">
        <v>5</v>
      </c>
      <c r="H12" s="25" t="s">
        <v>6</v>
      </c>
      <c r="I12" s="26" t="s">
        <v>7</v>
      </c>
      <c r="M12" s="119" t="s">
        <v>49</v>
      </c>
      <c r="N12" s="119" t="s">
        <v>40</v>
      </c>
      <c r="O12" s="119" t="s">
        <v>57</v>
      </c>
      <c r="P12" s="119" t="s">
        <v>48</v>
      </c>
      <c r="Q12" s="119" t="s">
        <v>35</v>
      </c>
    </row>
    <row r="13" spans="2:24" ht="15" customHeight="1">
      <c r="B13" s="78"/>
      <c r="C13" s="140"/>
      <c r="D13" s="79"/>
      <c r="E13" s="79"/>
      <c r="F13" s="80"/>
      <c r="G13" s="81"/>
      <c r="H13" s="82"/>
      <c r="I13" s="83"/>
      <c r="M13" s="43"/>
      <c r="N13" s="44"/>
    </row>
    <row r="14" spans="2:24" ht="15" customHeight="1">
      <c r="B14" s="84"/>
      <c r="C14" s="141" t="s">
        <v>95</v>
      </c>
      <c r="D14" s="85"/>
      <c r="E14" s="85"/>
      <c r="F14" s="86"/>
      <c r="G14" s="87"/>
      <c r="H14" s="88"/>
      <c r="I14" s="89">
        <f>SUM(I15:I36)</f>
        <v>170090467.51779997</v>
      </c>
      <c r="L14" s="77"/>
      <c r="M14" s="197"/>
      <c r="N14" s="198"/>
      <c r="O14" s="198"/>
      <c r="P14" s="198"/>
      <c r="Q14" s="199">
        <f>SUM(Q15:Q36)</f>
        <v>170090467.51442721</v>
      </c>
    </row>
    <row r="15" spans="2:24" ht="15" customHeight="1">
      <c r="B15" s="127">
        <v>1</v>
      </c>
      <c r="C15" s="128" t="s">
        <v>96</v>
      </c>
      <c r="D15" s="91"/>
      <c r="E15" s="91"/>
      <c r="F15" s="92"/>
      <c r="G15" s="129"/>
      <c r="H15" s="94"/>
      <c r="I15" s="95"/>
      <c r="M15" s="192"/>
      <c r="N15" s="47"/>
      <c r="O15" s="47"/>
      <c r="P15" s="47"/>
      <c r="Q15" s="200"/>
      <c r="S15" s="208">
        <f>I15-Q15</f>
        <v>0</v>
      </c>
      <c r="V15" s="121"/>
      <c r="W15" s="162"/>
      <c r="X15" s="162"/>
    </row>
    <row r="16" spans="2:24" ht="15" customHeight="1">
      <c r="B16" s="90" t="s">
        <v>17</v>
      </c>
      <c r="C16" s="142" t="s">
        <v>96</v>
      </c>
      <c r="D16" s="91"/>
      <c r="E16" s="91"/>
      <c r="F16" s="92" t="s">
        <v>58</v>
      </c>
      <c r="G16" s="129">
        <f>'03.- Cubicaciones'!C5</f>
        <v>1</v>
      </c>
      <c r="H16" s="94">
        <f>'1.1'!$G$4</f>
        <v>19164000</v>
      </c>
      <c r="I16" s="95">
        <f>IF(G16="","",G16*H16)</f>
        <v>19164000</v>
      </c>
      <c r="M16" s="192">
        <f>'1.1'!$M$4</f>
        <v>0</v>
      </c>
      <c r="N16" s="47">
        <f>'1.1'!$N$4</f>
        <v>0</v>
      </c>
      <c r="O16" s="47">
        <f>'1.1'!$O$4</f>
        <v>0</v>
      </c>
      <c r="P16" s="47">
        <f>'1.1'!$P$4</f>
        <v>19164000</v>
      </c>
      <c r="Q16" s="200">
        <f t="shared" ref="Q16:Q42" si="0">SUM(M16:P16)</f>
        <v>19164000</v>
      </c>
      <c r="S16" s="208">
        <f t="shared" ref="S16:S42" si="1">I16-Q16</f>
        <v>0</v>
      </c>
      <c r="V16" s="122"/>
      <c r="W16" s="126"/>
    </row>
    <row r="17" spans="2:23" ht="15" customHeight="1">
      <c r="B17" s="127">
        <v>2</v>
      </c>
      <c r="C17" s="128" t="s">
        <v>69</v>
      </c>
      <c r="D17" s="91"/>
      <c r="E17" s="91"/>
      <c r="F17" s="92"/>
      <c r="G17" s="129"/>
      <c r="H17" s="94"/>
      <c r="I17" s="95"/>
      <c r="M17" s="192"/>
      <c r="N17" s="47"/>
      <c r="O17" s="47"/>
      <c r="P17" s="47"/>
      <c r="Q17" s="200"/>
      <c r="S17" s="208"/>
      <c r="V17" s="122"/>
      <c r="W17" s="126"/>
    </row>
    <row r="18" spans="2:23" ht="15" customHeight="1">
      <c r="B18" s="90" t="s">
        <v>19</v>
      </c>
      <c r="C18" s="142" t="s">
        <v>98</v>
      </c>
      <c r="D18" s="91"/>
      <c r="E18" s="91"/>
      <c r="F18" s="92" t="s">
        <v>67</v>
      </c>
      <c r="G18" s="129">
        <f>'03.- Cubicaciones'!C7</f>
        <v>890</v>
      </c>
      <c r="H18" s="94">
        <f>'2.1'!$G$4</f>
        <v>25500</v>
      </c>
      <c r="I18" s="95">
        <f t="shared" ref="I18:I20" si="2">IF(G18="","",G18*H18)</f>
        <v>22695000</v>
      </c>
      <c r="M18" s="192">
        <f>'2.1'!$M$4</f>
        <v>0</v>
      </c>
      <c r="N18" s="47">
        <f>'2.1'!$N$4</f>
        <v>0</v>
      </c>
      <c r="O18" s="47">
        <f>'2.1'!$O$4</f>
        <v>0</v>
      </c>
      <c r="P18" s="47">
        <f>'2.1'!$P$4</f>
        <v>22695000</v>
      </c>
      <c r="Q18" s="200">
        <f t="shared" si="0"/>
        <v>22695000</v>
      </c>
      <c r="S18" s="208">
        <f t="shared" si="1"/>
        <v>0</v>
      </c>
      <c r="U18" s="122"/>
      <c r="V18" s="122"/>
      <c r="W18" s="126"/>
    </row>
    <row r="19" spans="2:23" ht="15" customHeight="1">
      <c r="B19" s="90" t="s">
        <v>86</v>
      </c>
      <c r="C19" s="142" t="s">
        <v>99</v>
      </c>
      <c r="D19" s="91"/>
      <c r="E19" s="91"/>
      <c r="F19" s="92" t="s">
        <v>346</v>
      </c>
      <c r="G19" s="129">
        <f>'03.- Cubicaciones'!C8</f>
        <v>400</v>
      </c>
      <c r="H19" s="94">
        <f>'2.2'!$G$4</f>
        <v>34101.438000000002</v>
      </c>
      <c r="I19" s="95">
        <f t="shared" ref="I19" si="3">IF(G19="","",G19*H19)</f>
        <v>13640575.200000001</v>
      </c>
      <c r="M19" s="192">
        <f>'2.2'!$M$4</f>
        <v>10400000</v>
      </c>
      <c r="N19" s="47">
        <f>'2.2'!$N$4</f>
        <v>1153555.6000000001</v>
      </c>
      <c r="O19" s="47">
        <f>'2.2'!$O$4</f>
        <v>0</v>
      </c>
      <c r="P19" s="47">
        <f>'2.2'!$P$4</f>
        <v>2087019.5999999999</v>
      </c>
      <c r="Q19" s="200">
        <f t="shared" ref="Q19" si="4">SUM(M19:P19)</f>
        <v>13640575.199999999</v>
      </c>
      <c r="S19" s="208">
        <f t="shared" ref="S19" si="5">I19-Q19</f>
        <v>0</v>
      </c>
      <c r="V19" s="122"/>
      <c r="W19" s="126"/>
    </row>
    <row r="20" spans="2:23" ht="15" customHeight="1">
      <c r="B20" s="90" t="s">
        <v>53</v>
      </c>
      <c r="C20" s="142" t="s">
        <v>100</v>
      </c>
      <c r="D20" s="91"/>
      <c r="E20" s="91"/>
      <c r="F20" s="92" t="s">
        <v>346</v>
      </c>
      <c r="G20" s="129">
        <f>'03.- Cubicaciones'!C9</f>
        <v>754</v>
      </c>
      <c r="H20" s="94">
        <f>'2.3'!$G$4</f>
        <v>67330.534145888581</v>
      </c>
      <c r="I20" s="95">
        <f t="shared" si="2"/>
        <v>50767222.745999992</v>
      </c>
      <c r="M20" s="192">
        <f>'2.3'!$M$4</f>
        <v>42295257.142857142</v>
      </c>
      <c r="N20" s="47">
        <f>'2.3'!$N$4</f>
        <v>1961044.4444444445</v>
      </c>
      <c r="O20" s="47">
        <f>'2.3'!$O$4</f>
        <v>0</v>
      </c>
      <c r="P20" s="47">
        <f>'2.3'!$P$4</f>
        <v>6510921.1524</v>
      </c>
      <c r="Q20" s="200">
        <f t="shared" si="0"/>
        <v>50767222.739701591</v>
      </c>
      <c r="S20" s="208">
        <f t="shared" si="1"/>
        <v>6.2984004616737366E-3</v>
      </c>
      <c r="V20" s="122"/>
      <c r="W20" s="126"/>
    </row>
    <row r="21" spans="2:23" ht="15" customHeight="1">
      <c r="B21" s="90" t="s">
        <v>97</v>
      </c>
      <c r="C21" s="142" t="s">
        <v>101</v>
      </c>
      <c r="D21" s="91"/>
      <c r="E21" s="91"/>
      <c r="F21" s="92" t="s">
        <v>58</v>
      </c>
      <c r="G21" s="129">
        <f>'03.- Cubicaciones'!C10</f>
        <v>1</v>
      </c>
      <c r="H21" s="94">
        <f>'2.4'!$G$4</f>
        <v>42742</v>
      </c>
      <c r="I21" s="95">
        <f t="shared" ref="I21" si="6">IF(G21="","",G21*H21)</f>
        <v>42742</v>
      </c>
      <c r="M21" s="192">
        <f>'2.4'!$M$4</f>
        <v>0</v>
      </c>
      <c r="N21" s="47">
        <f>'2.4'!$N$4</f>
        <v>0</v>
      </c>
      <c r="O21" s="47">
        <f>'2.4'!$O$4</f>
        <v>42742</v>
      </c>
      <c r="P21" s="47">
        <f>'2.4'!$P$4</f>
        <v>0</v>
      </c>
      <c r="Q21" s="200">
        <f t="shared" si="0"/>
        <v>42742</v>
      </c>
      <c r="S21" s="208">
        <f t="shared" si="1"/>
        <v>0</v>
      </c>
      <c r="U21" s="122"/>
      <c r="V21" s="122"/>
      <c r="W21" s="126"/>
    </row>
    <row r="22" spans="2:23" ht="15" customHeight="1">
      <c r="B22" s="127">
        <v>3</v>
      </c>
      <c r="C22" s="128" t="s">
        <v>102</v>
      </c>
      <c r="D22" s="91"/>
      <c r="E22" s="91"/>
      <c r="F22" s="92"/>
      <c r="G22" s="129"/>
      <c r="H22" s="94"/>
      <c r="I22" s="95"/>
      <c r="M22" s="192"/>
      <c r="N22" s="47"/>
      <c r="O22" s="47"/>
      <c r="P22" s="47"/>
      <c r="Q22" s="200"/>
      <c r="S22" s="208"/>
      <c r="U22" s="122"/>
      <c r="V22" s="122"/>
      <c r="W22" s="126"/>
    </row>
    <row r="23" spans="2:23" ht="15" customHeight="1">
      <c r="B23" s="90" t="s">
        <v>51</v>
      </c>
      <c r="C23" s="142" t="s">
        <v>103</v>
      </c>
      <c r="D23" s="91"/>
      <c r="E23" s="91"/>
      <c r="F23" s="92" t="s">
        <v>346</v>
      </c>
      <c r="G23" s="129">
        <f>'03.- Cubicaciones'!C12</f>
        <v>760</v>
      </c>
      <c r="H23" s="94">
        <f>'3.1'!$G$4</f>
        <v>25500</v>
      </c>
      <c r="I23" s="95">
        <f t="shared" ref="I23:I26" si="7">IF(G23="","",G23*H23)</f>
        <v>19380000</v>
      </c>
      <c r="M23" s="192">
        <f>'3.1'!$M$4</f>
        <v>0</v>
      </c>
      <c r="N23" s="47">
        <f>'3.1'!$N$4</f>
        <v>0</v>
      </c>
      <c r="O23" s="47">
        <f>'3.1'!$O$4</f>
        <v>0</v>
      </c>
      <c r="P23" s="47">
        <f>'3.1'!$P$4</f>
        <v>19380000</v>
      </c>
      <c r="Q23" s="200">
        <f t="shared" ref="Q23:Q26" si="8">SUM(M23:P23)</f>
        <v>19380000</v>
      </c>
      <c r="S23" s="208">
        <f t="shared" ref="S23:S26" si="9">I23-Q23</f>
        <v>0</v>
      </c>
      <c r="U23" s="122"/>
      <c r="V23" s="122"/>
      <c r="W23" s="126"/>
    </row>
    <row r="24" spans="2:23" ht="15" customHeight="1">
      <c r="B24" s="90" t="s">
        <v>52</v>
      </c>
      <c r="C24" s="142" t="s">
        <v>104</v>
      </c>
      <c r="D24" s="91"/>
      <c r="E24" s="91"/>
      <c r="F24" s="92" t="s">
        <v>67</v>
      </c>
      <c r="G24" s="129">
        <f>'03.- Cubicaciones'!C13</f>
        <v>234</v>
      </c>
      <c r="H24" s="94">
        <f>'3.2'!$G$4</f>
        <v>37444.097999999998</v>
      </c>
      <c r="I24" s="95">
        <f t="shared" si="7"/>
        <v>8761918.932</v>
      </c>
      <c r="M24" s="192">
        <f>'3.2'!$M$4</f>
        <v>6692400</v>
      </c>
      <c r="N24" s="47">
        <f>'3.2'!$N$4</f>
        <v>0</v>
      </c>
      <c r="O24" s="47">
        <f>'3.2'!$O$4</f>
        <v>0</v>
      </c>
      <c r="P24" s="47">
        <f>'3.2'!$P$4</f>
        <v>2069518.932</v>
      </c>
      <c r="Q24" s="200">
        <f t="shared" si="8"/>
        <v>8761918.932</v>
      </c>
      <c r="S24" s="208">
        <f t="shared" si="9"/>
        <v>0</v>
      </c>
      <c r="V24" s="122"/>
      <c r="W24" s="126"/>
    </row>
    <row r="25" spans="2:23" ht="15" customHeight="1">
      <c r="B25" s="90" t="s">
        <v>77</v>
      </c>
      <c r="C25" s="142" t="s">
        <v>105</v>
      </c>
      <c r="D25" s="91"/>
      <c r="E25" s="91"/>
      <c r="F25" s="92" t="s">
        <v>67</v>
      </c>
      <c r="G25" s="129">
        <f>'03.- Cubicaciones'!C14</f>
        <v>180</v>
      </c>
      <c r="H25" s="94">
        <f>'3.3'!$G$4</f>
        <v>35161.255000000005</v>
      </c>
      <c r="I25" s="95">
        <f t="shared" si="7"/>
        <v>6329025.9000000004</v>
      </c>
      <c r="M25" s="192">
        <f>'3.3'!$M$4</f>
        <v>4680000</v>
      </c>
      <c r="N25" s="47">
        <f>'3.3'!$N$4</f>
        <v>0</v>
      </c>
      <c r="O25" s="47">
        <f>'3.3'!$O$4</f>
        <v>0</v>
      </c>
      <c r="P25" s="47">
        <f>'3.3'!$P$4</f>
        <v>1649025.9000000001</v>
      </c>
      <c r="Q25" s="200">
        <f t="shared" si="8"/>
        <v>6329025.9000000004</v>
      </c>
      <c r="S25" s="208">
        <f t="shared" si="9"/>
        <v>0</v>
      </c>
      <c r="V25" s="122"/>
      <c r="W25" s="126"/>
    </row>
    <row r="26" spans="2:23" ht="15" customHeight="1">
      <c r="B26" s="90" t="s">
        <v>78</v>
      </c>
      <c r="C26" s="142" t="s">
        <v>106</v>
      </c>
      <c r="D26" s="91"/>
      <c r="E26" s="91"/>
      <c r="F26" s="92" t="s">
        <v>67</v>
      </c>
      <c r="G26" s="129">
        <f>'03.- Cubicaciones'!C15</f>
        <v>270</v>
      </c>
      <c r="H26" s="94">
        <f>'3.4'!$G$4</f>
        <v>49700</v>
      </c>
      <c r="I26" s="95">
        <f t="shared" si="7"/>
        <v>13419000</v>
      </c>
      <c r="M26" s="192">
        <f>'3.4'!$M$4</f>
        <v>12987000</v>
      </c>
      <c r="N26" s="47">
        <f>'3.4'!$N$4</f>
        <v>0</v>
      </c>
      <c r="O26" s="47">
        <f>'3.4'!$O$4</f>
        <v>0</v>
      </c>
      <c r="P26" s="47">
        <f>'3.4'!$P$4</f>
        <v>432000</v>
      </c>
      <c r="Q26" s="200">
        <f t="shared" si="8"/>
        <v>13419000</v>
      </c>
      <c r="S26" s="208">
        <f t="shared" si="9"/>
        <v>0</v>
      </c>
      <c r="V26" s="122"/>
      <c r="W26" s="126"/>
    </row>
    <row r="27" spans="2:23" ht="15" customHeight="1">
      <c r="B27" s="90" t="s">
        <v>79</v>
      </c>
      <c r="C27" s="142" t="s">
        <v>107</v>
      </c>
      <c r="D27" s="91"/>
      <c r="E27" s="91"/>
      <c r="F27" s="92" t="s">
        <v>18</v>
      </c>
      <c r="G27" s="129">
        <f>'03.- Cubicaciones'!C16</f>
        <v>900</v>
      </c>
      <c r="H27" s="94">
        <f>'3.5'!$G$4</f>
        <v>1623.5329999999999</v>
      </c>
      <c r="I27" s="95">
        <f t="shared" ref="I27" si="10">IF(G27="","",G27*H27)</f>
        <v>1461179.7</v>
      </c>
      <c r="M27" s="192">
        <f>'3.5'!$M$4</f>
        <v>1188000</v>
      </c>
      <c r="N27" s="47">
        <f>'3.5'!$N$4</f>
        <v>227649.6</v>
      </c>
      <c r="O27" s="47">
        <f>'3.5'!$O$4</f>
        <v>0</v>
      </c>
      <c r="P27" s="47">
        <f>'3.5'!$P$4</f>
        <v>45530.1</v>
      </c>
      <c r="Q27" s="200">
        <f t="shared" ref="Q27" si="11">SUM(M27:P27)</f>
        <v>1461179.7000000002</v>
      </c>
      <c r="S27" s="208">
        <f t="shared" ref="S27" si="12">I27-Q27</f>
        <v>0</v>
      </c>
      <c r="V27" s="122"/>
      <c r="W27" s="126"/>
    </row>
    <row r="28" spans="2:23" ht="15" customHeight="1">
      <c r="B28" s="127">
        <v>4</v>
      </c>
      <c r="C28" s="128" t="s">
        <v>108</v>
      </c>
      <c r="D28" s="91"/>
      <c r="E28" s="91"/>
      <c r="F28" s="92"/>
      <c r="G28" s="129"/>
      <c r="H28" s="94"/>
      <c r="I28" s="95"/>
      <c r="M28" s="192"/>
      <c r="N28" s="47"/>
      <c r="O28" s="47"/>
      <c r="P28" s="47"/>
      <c r="Q28" s="200"/>
      <c r="S28" s="208"/>
      <c r="V28" s="122"/>
      <c r="W28" s="126"/>
    </row>
    <row r="29" spans="2:23" ht="15" customHeight="1">
      <c r="B29" s="90" t="s">
        <v>59</v>
      </c>
      <c r="C29" s="142" t="s">
        <v>109</v>
      </c>
      <c r="D29" s="91"/>
      <c r="E29" s="91"/>
      <c r="F29" s="92" t="s">
        <v>65</v>
      </c>
      <c r="G29" s="129">
        <f>'03.- Cubicaciones'!C18</f>
        <v>6.3</v>
      </c>
      <c r="H29" s="94">
        <f>'4.1'!$G$4</f>
        <v>315982.16600000003</v>
      </c>
      <c r="I29" s="95">
        <f t="shared" ref="I29:I30" si="13">IF(G29="","",G29*H29)</f>
        <v>1990687.6458000001</v>
      </c>
      <c r="M29" s="192">
        <f>'4.1'!$M$4</f>
        <v>680431.52305882331</v>
      </c>
      <c r="N29" s="47">
        <f>'4.1'!$N$4</f>
        <v>241535.92918888887</v>
      </c>
      <c r="O29" s="47">
        <f>'4.1'!$O$4</f>
        <v>767550</v>
      </c>
      <c r="P29" s="47">
        <f>'4.1'!$P$4</f>
        <v>301170.19647790393</v>
      </c>
      <c r="Q29" s="200">
        <f t="shared" ref="Q29:Q30" si="14">SUM(M29:P29)</f>
        <v>1990687.6487256163</v>
      </c>
      <c r="S29" s="208">
        <f t="shared" ref="S29:S30" si="15">I29-Q29</f>
        <v>-2.9256162233650684E-3</v>
      </c>
      <c r="V29" s="122"/>
      <c r="W29" s="126"/>
    </row>
    <row r="30" spans="2:23" ht="15" customHeight="1">
      <c r="B30" s="90" t="s">
        <v>60</v>
      </c>
      <c r="C30" s="142" t="s">
        <v>110</v>
      </c>
      <c r="D30" s="91"/>
      <c r="E30" s="91"/>
      <c r="F30" s="92" t="s">
        <v>76</v>
      </c>
      <c r="G30" s="129">
        <f>'03.- Cubicaciones'!C19</f>
        <v>1</v>
      </c>
      <c r="H30" s="94">
        <f>'4.2'!$G$4</f>
        <v>650632.39400000009</v>
      </c>
      <c r="I30" s="95">
        <f t="shared" si="13"/>
        <v>650632.39400000009</v>
      </c>
      <c r="M30" s="192">
        <f>'4.2'!$M$4</f>
        <v>424713.72700000007</v>
      </c>
      <c r="N30" s="47">
        <f>'4.2'!$N$4</f>
        <v>144355.55599999998</v>
      </c>
      <c r="O30" s="47">
        <f>'4.2'!$O$4</f>
        <v>37692</v>
      </c>
      <c r="P30" s="47">
        <f>'4.2'!$P$4</f>
        <v>43871.111000000004</v>
      </c>
      <c r="Q30" s="200">
        <f t="shared" si="14"/>
        <v>650632.39400000009</v>
      </c>
      <c r="S30" s="208">
        <f t="shared" si="15"/>
        <v>0</v>
      </c>
      <c r="V30" s="122"/>
      <c r="W30" s="126"/>
    </row>
    <row r="31" spans="2:23" ht="15" customHeight="1">
      <c r="B31" s="127">
        <v>5</v>
      </c>
      <c r="C31" s="128" t="s">
        <v>111</v>
      </c>
      <c r="D31" s="91"/>
      <c r="E31" s="91"/>
      <c r="F31" s="92"/>
      <c r="G31" s="129"/>
      <c r="H31" s="94"/>
      <c r="I31" s="95"/>
      <c r="M31" s="192"/>
      <c r="N31" s="47"/>
      <c r="O31" s="47"/>
      <c r="P31" s="47"/>
      <c r="Q31" s="200"/>
      <c r="S31" s="208"/>
    </row>
    <row r="32" spans="2:23" ht="15" customHeight="1">
      <c r="B32" s="90" t="s">
        <v>61</v>
      </c>
      <c r="C32" s="142" t="s">
        <v>112</v>
      </c>
      <c r="D32" s="91"/>
      <c r="E32" s="91"/>
      <c r="F32" s="92" t="s">
        <v>65</v>
      </c>
      <c r="G32" s="129">
        <f>'03.- Cubicaciones'!C21</f>
        <v>50</v>
      </c>
      <c r="H32" s="94">
        <f>'5.1'!$G$4</f>
        <v>30000</v>
      </c>
      <c r="I32" s="95">
        <f t="shared" ref="I32:I33" si="16">IF(G32="","",G32*H32)</f>
        <v>1500000</v>
      </c>
      <c r="M32" s="192">
        <f>'5.1'!$M$4</f>
        <v>0</v>
      </c>
      <c r="N32" s="47">
        <f>'5.1'!$N$4</f>
        <v>0</v>
      </c>
      <c r="O32" s="47">
        <f>'5.1'!$O$4</f>
        <v>1500000</v>
      </c>
      <c r="P32" s="47">
        <f>'5.1'!$P$4</f>
        <v>0</v>
      </c>
      <c r="Q32" s="200">
        <f t="shared" ref="Q32:Q33" si="17">SUM(M32:P32)</f>
        <v>1500000</v>
      </c>
      <c r="S32" s="208">
        <f t="shared" ref="S32:S33" si="18">I32-Q32</f>
        <v>0</v>
      </c>
    </row>
    <row r="33" spans="2:19" ht="15" customHeight="1">
      <c r="B33" s="90" t="s">
        <v>62</v>
      </c>
      <c r="C33" s="142" t="s">
        <v>113</v>
      </c>
      <c r="D33" s="91"/>
      <c r="E33" s="91"/>
      <c r="F33" s="92" t="s">
        <v>65</v>
      </c>
      <c r="G33" s="129">
        <f>'03.- Cubicaciones'!C22</f>
        <v>280</v>
      </c>
      <c r="H33" s="94">
        <f>'5.2'!$G$4</f>
        <v>30550</v>
      </c>
      <c r="I33" s="95">
        <f t="shared" si="16"/>
        <v>8554000</v>
      </c>
      <c r="M33" s="192">
        <f>'5.2'!$M$4</f>
        <v>0</v>
      </c>
      <c r="N33" s="47">
        <f>'5.2'!$N$4</f>
        <v>0</v>
      </c>
      <c r="O33" s="47">
        <f>'5.2'!$O$4</f>
        <v>8554000</v>
      </c>
      <c r="P33" s="47">
        <f>'5.2'!$P$4</f>
        <v>0</v>
      </c>
      <c r="Q33" s="200">
        <f t="shared" si="17"/>
        <v>8554000</v>
      </c>
      <c r="S33" s="208">
        <f t="shared" si="18"/>
        <v>0</v>
      </c>
    </row>
    <row r="34" spans="2:19" ht="15" customHeight="1">
      <c r="B34" s="90" t="s">
        <v>80</v>
      </c>
      <c r="C34" s="142" t="s">
        <v>115</v>
      </c>
      <c r="D34" s="91"/>
      <c r="E34" s="91"/>
      <c r="F34" s="92" t="s">
        <v>76</v>
      </c>
      <c r="G34" s="129">
        <f>'03.- Cubicaciones'!C23</f>
        <v>1</v>
      </c>
      <c r="H34" s="94">
        <f>'5.3'!$G$4</f>
        <v>1214017</v>
      </c>
      <c r="I34" s="95">
        <f t="shared" ref="I34:I35" si="19">IF(G34="","",G34*H34)</f>
        <v>1214017</v>
      </c>
      <c r="M34" s="192">
        <f>'5.3'!$M$4</f>
        <v>0</v>
      </c>
      <c r="N34" s="47">
        <f>'5.3'!$N$4</f>
        <v>0</v>
      </c>
      <c r="O34" s="47">
        <f>'5.3'!$O$4</f>
        <v>1214017</v>
      </c>
      <c r="P34" s="47">
        <f>'5.3'!$P$4</f>
        <v>0</v>
      </c>
      <c r="Q34" s="200">
        <f t="shared" ref="Q34:Q35" si="20">SUM(M34:P34)</f>
        <v>1214017</v>
      </c>
      <c r="S34" s="208">
        <f t="shared" ref="S34:S35" si="21">I34-Q34</f>
        <v>0</v>
      </c>
    </row>
    <row r="35" spans="2:19" ht="15" customHeight="1">
      <c r="B35" s="90" t="s">
        <v>81</v>
      </c>
      <c r="C35" s="142" t="s">
        <v>114</v>
      </c>
      <c r="D35" s="91"/>
      <c r="E35" s="91"/>
      <c r="F35" s="92" t="s">
        <v>76</v>
      </c>
      <c r="G35" s="129">
        <f>'03.- Cubicaciones'!C24</f>
        <v>1</v>
      </c>
      <c r="H35" s="94">
        <f>'5.4'!$G$4</f>
        <v>520466</v>
      </c>
      <c r="I35" s="95">
        <f t="shared" si="19"/>
        <v>520466</v>
      </c>
      <c r="M35" s="192">
        <f>'5.4'!$M$4</f>
        <v>0</v>
      </c>
      <c r="N35" s="47">
        <f>'5.4'!$N$4</f>
        <v>0</v>
      </c>
      <c r="O35" s="47">
        <f>'5.4'!$O$4</f>
        <v>520466</v>
      </c>
      <c r="P35" s="47">
        <f>'5.4'!$P$4</f>
        <v>0</v>
      </c>
      <c r="Q35" s="200">
        <f t="shared" si="20"/>
        <v>520466</v>
      </c>
      <c r="S35" s="208">
        <f t="shared" si="21"/>
        <v>0</v>
      </c>
    </row>
    <row r="36" spans="2:19" ht="15" customHeight="1">
      <c r="B36" s="90"/>
      <c r="C36" s="142"/>
      <c r="D36" s="91"/>
      <c r="E36" s="91"/>
      <c r="F36" s="92"/>
      <c r="G36" s="129"/>
      <c r="H36" s="96"/>
      <c r="I36" s="95" t="str">
        <f t="shared" ref="I36" si="22">IF(G36="","",G36*H36)</f>
        <v/>
      </c>
      <c r="K36" s="77"/>
      <c r="L36" s="77"/>
      <c r="M36" s="192"/>
      <c r="N36" s="47"/>
      <c r="O36" s="47"/>
      <c r="P36" s="47"/>
      <c r="Q36" s="200"/>
      <c r="S36" s="208"/>
    </row>
    <row r="37" spans="2:19" ht="15" customHeight="1">
      <c r="B37" s="84"/>
      <c r="C37" s="141" t="s">
        <v>116</v>
      </c>
      <c r="D37" s="85"/>
      <c r="E37" s="85"/>
      <c r="F37" s="86"/>
      <c r="G37" s="130"/>
      <c r="H37" s="88"/>
      <c r="I37" s="89">
        <f>SUM(I38:I112)</f>
        <v>53573139.40152882</v>
      </c>
      <c r="M37" s="192"/>
      <c r="N37" s="47"/>
      <c r="O37" s="47"/>
      <c r="P37" s="47"/>
      <c r="Q37" s="201">
        <f>SUM(Q38:Q112)</f>
        <v>53573139.40152882</v>
      </c>
      <c r="S37" s="208"/>
    </row>
    <row r="38" spans="2:19" ht="15" customHeight="1">
      <c r="B38" s="127">
        <v>6</v>
      </c>
      <c r="C38" s="128" t="s">
        <v>117</v>
      </c>
      <c r="D38" s="91"/>
      <c r="E38" s="91"/>
      <c r="F38" s="92"/>
      <c r="G38" s="129"/>
      <c r="H38" s="94"/>
      <c r="I38" s="95"/>
      <c r="M38" s="192"/>
      <c r="N38" s="47"/>
      <c r="O38" s="47"/>
      <c r="P38" s="47"/>
      <c r="Q38" s="201"/>
      <c r="S38" s="208"/>
    </row>
    <row r="39" spans="2:19" ht="15" customHeight="1">
      <c r="B39" s="90" t="s">
        <v>63</v>
      </c>
      <c r="C39" s="142" t="s">
        <v>121</v>
      </c>
      <c r="D39" s="91"/>
      <c r="E39" s="91"/>
      <c r="F39" s="92" t="s">
        <v>67</v>
      </c>
      <c r="G39" s="129">
        <f>'03.- Cubicaciones'!C28</f>
        <v>36.75</v>
      </c>
      <c r="H39" s="94">
        <f>'6.1'!$G$4</f>
        <v>141504.26700000002</v>
      </c>
      <c r="I39" s="95">
        <f>IF(G39="","",G39*H39)</f>
        <v>5200281.8122500004</v>
      </c>
      <c r="M39" s="192">
        <f>'6.1'!$M$4</f>
        <v>4568100.1537499996</v>
      </c>
      <c r="N39" s="47">
        <f>'6.1'!$N$4</f>
        <v>353276.39025000005</v>
      </c>
      <c r="O39" s="47">
        <f>'6.1'!$O$4</f>
        <v>0</v>
      </c>
      <c r="P39" s="47">
        <f>'6.1'!$P$4</f>
        <v>278905.26824999996</v>
      </c>
      <c r="Q39" s="200">
        <f t="shared" si="0"/>
        <v>5200281.8122499995</v>
      </c>
      <c r="S39" s="208">
        <f t="shared" si="1"/>
        <v>0</v>
      </c>
    </row>
    <row r="40" spans="2:19" ht="15" customHeight="1">
      <c r="B40" s="90" t="s">
        <v>64</v>
      </c>
      <c r="C40" s="142" t="s">
        <v>122</v>
      </c>
      <c r="D40" s="91"/>
      <c r="E40" s="91"/>
      <c r="F40" s="92" t="s">
        <v>67</v>
      </c>
      <c r="G40" s="129">
        <f>'03.- Cubicaciones'!C29</f>
        <v>5.25</v>
      </c>
      <c r="H40" s="94">
        <f>'6.2'!$G$4</f>
        <v>120719.806</v>
      </c>
      <c r="I40" s="95">
        <f>IF(G40="","",G40*H40)</f>
        <v>633778.98149999999</v>
      </c>
      <c r="M40" s="192">
        <f>'6.2'!$M$4</f>
        <v>573217.3125</v>
      </c>
      <c r="N40" s="47">
        <f>'6.2'!$N$4</f>
        <v>50468.05575</v>
      </c>
      <c r="O40" s="47">
        <f>'6.2'!$O$4</f>
        <v>0</v>
      </c>
      <c r="P40" s="47">
        <f>'6.2'!$P$4</f>
        <v>10093.61325</v>
      </c>
      <c r="Q40" s="200">
        <f t="shared" si="0"/>
        <v>633778.98150000011</v>
      </c>
      <c r="S40" s="208">
        <f t="shared" si="1"/>
        <v>0</v>
      </c>
    </row>
    <row r="41" spans="2:19" ht="15" customHeight="1">
      <c r="B41" s="90" t="s">
        <v>82</v>
      </c>
      <c r="C41" s="142" t="s">
        <v>123</v>
      </c>
      <c r="D41" s="91"/>
      <c r="E41" s="91"/>
      <c r="F41" s="92" t="s">
        <v>67</v>
      </c>
      <c r="G41" s="129">
        <f>'03.- Cubicaciones'!C30</f>
        <v>199.5</v>
      </c>
      <c r="H41" s="94">
        <f>'6.3'!$G$4</f>
        <v>31578.853999999996</v>
      </c>
      <c r="I41" s="95">
        <f>IF(G41="","",G41*H41)</f>
        <v>6299981.3729999987</v>
      </c>
      <c r="M41" s="192">
        <f>'6.3'!$M$4</f>
        <v>5187000</v>
      </c>
      <c r="N41" s="47">
        <f>'6.3'!$N$4</f>
        <v>287667.82799999998</v>
      </c>
      <c r="O41" s="47">
        <f>'6.3'!$O$4</f>
        <v>0</v>
      </c>
      <c r="P41" s="47">
        <f>'6.3'!$P$4</f>
        <v>825313.54499999993</v>
      </c>
      <c r="Q41" s="200">
        <f t="shared" ref="Q41" si="23">SUM(M41:P41)</f>
        <v>6299981.3729999997</v>
      </c>
      <c r="S41" s="208">
        <f t="shared" ref="S41" si="24">I41-Q41</f>
        <v>0</v>
      </c>
    </row>
    <row r="42" spans="2:19" ht="15" customHeight="1">
      <c r="B42" s="90" t="s">
        <v>83</v>
      </c>
      <c r="C42" s="142" t="s">
        <v>124</v>
      </c>
      <c r="D42" s="91"/>
      <c r="E42" s="91"/>
      <c r="F42" s="92" t="s">
        <v>67</v>
      </c>
      <c r="G42" s="129">
        <f>'03.- Cubicaciones'!C31</f>
        <v>246.75</v>
      </c>
      <c r="H42" s="94">
        <f>'6.4'!$G$4</f>
        <v>25500</v>
      </c>
      <c r="I42" s="95">
        <f t="shared" ref="I42" si="25">IF(G42="","",G42*H42)</f>
        <v>6292125</v>
      </c>
      <c r="M42" s="192">
        <f>'6.4'!$M$4</f>
        <v>0</v>
      </c>
      <c r="N42" s="47">
        <f>'6.4'!$N$4</f>
        <v>0</v>
      </c>
      <c r="O42" s="47">
        <f>'6.4'!$O$4</f>
        <v>0</v>
      </c>
      <c r="P42" s="47">
        <f>'6.4'!$P$4</f>
        <v>6292125</v>
      </c>
      <c r="Q42" s="200">
        <f t="shared" si="0"/>
        <v>6292125</v>
      </c>
      <c r="S42" s="208">
        <f t="shared" si="1"/>
        <v>0</v>
      </c>
    </row>
    <row r="43" spans="2:19" ht="15" customHeight="1">
      <c r="B43" s="90" t="s">
        <v>118</v>
      </c>
      <c r="C43" s="142" t="s">
        <v>125</v>
      </c>
      <c r="D43" s="91"/>
      <c r="E43" s="91"/>
      <c r="F43" s="92" t="s">
        <v>18</v>
      </c>
      <c r="G43" s="129">
        <f>'03.- Cubicaciones'!C32</f>
        <v>35</v>
      </c>
      <c r="H43" s="94">
        <f>'6.5'!$G$4</f>
        <v>16475.795999999998</v>
      </c>
      <c r="I43" s="95">
        <f t="shared" ref="I43:I45" si="26">IF(G43="","",G43*H43)</f>
        <v>576652.86</v>
      </c>
      <c r="M43" s="192">
        <f>'6.5'!$M$4</f>
        <v>414252.86</v>
      </c>
      <c r="N43" s="47">
        <f>'6.5'!$N$4</f>
        <v>135333.345</v>
      </c>
      <c r="O43" s="47">
        <f>'6.5'!$O$4</f>
        <v>0</v>
      </c>
      <c r="P43" s="47">
        <f>'6.5'!$P$4</f>
        <v>27066.654999999999</v>
      </c>
      <c r="Q43" s="200">
        <f t="shared" ref="Q43:Q45" si="27">SUM(M43:P43)</f>
        <v>576652.86</v>
      </c>
      <c r="S43" s="208">
        <f t="shared" ref="S43:S45" si="28">I43-Q43</f>
        <v>0</v>
      </c>
    </row>
    <row r="44" spans="2:19" ht="15" customHeight="1">
      <c r="B44" s="90" t="s">
        <v>119</v>
      </c>
      <c r="C44" s="142" t="s">
        <v>161</v>
      </c>
      <c r="D44" s="91"/>
      <c r="E44" s="91"/>
      <c r="F44" s="92" t="s">
        <v>75</v>
      </c>
      <c r="G44" s="129">
        <f>'03.- Cubicaciones'!C33</f>
        <v>1963.7849999999999</v>
      </c>
      <c r="H44" s="94">
        <f>'6.6'!$G$4</f>
        <v>1644.3330000000001</v>
      </c>
      <c r="I44" s="95">
        <f t="shared" si="26"/>
        <v>3229116.480405</v>
      </c>
      <c r="M44" s="192">
        <f>'6.6'!$M$4</f>
        <v>2050845.4804049998</v>
      </c>
      <c r="N44" s="47">
        <f>'6.6'!$N$4</f>
        <v>0</v>
      </c>
      <c r="O44" s="47">
        <f>'6.6'!$O$4</f>
        <v>1178271</v>
      </c>
      <c r="P44" s="47">
        <f>'6.6'!$P$4</f>
        <v>0</v>
      </c>
      <c r="Q44" s="200">
        <f t="shared" si="27"/>
        <v>3229116.480405</v>
      </c>
      <c r="S44" s="208">
        <f t="shared" si="28"/>
        <v>0</v>
      </c>
    </row>
    <row r="45" spans="2:19" ht="15" customHeight="1">
      <c r="B45" s="90" t="s">
        <v>120</v>
      </c>
      <c r="C45" s="142" t="s">
        <v>126</v>
      </c>
      <c r="D45" s="91"/>
      <c r="E45" s="91"/>
      <c r="F45" s="92" t="s">
        <v>76</v>
      </c>
      <c r="G45" s="129">
        <f>'03.- Cubicaciones'!C34</f>
        <v>280</v>
      </c>
      <c r="H45" s="94">
        <f>'6.7'!$G$4</f>
        <v>11342.214</v>
      </c>
      <c r="I45" s="95">
        <f t="shared" si="26"/>
        <v>3175819.92</v>
      </c>
      <c r="M45" s="192">
        <f>'6.7'!$M$4</f>
        <v>2769819.92</v>
      </c>
      <c r="N45" s="47">
        <f>'6.7'!$N$4</f>
        <v>338333.24000000005</v>
      </c>
      <c r="O45" s="47">
        <f>'6.7'!$O$4</f>
        <v>0</v>
      </c>
      <c r="P45" s="47">
        <f>'6.7'!$P$4</f>
        <v>67666.759999999995</v>
      </c>
      <c r="Q45" s="200">
        <f t="shared" si="27"/>
        <v>3175819.92</v>
      </c>
      <c r="S45" s="208">
        <f t="shared" si="28"/>
        <v>0</v>
      </c>
    </row>
    <row r="46" spans="2:19" ht="15" customHeight="1">
      <c r="B46" s="127">
        <v>7</v>
      </c>
      <c r="C46" s="128" t="s">
        <v>127</v>
      </c>
      <c r="D46" s="91"/>
      <c r="E46" s="91"/>
      <c r="F46" s="92"/>
      <c r="G46" s="129"/>
      <c r="H46" s="94"/>
      <c r="I46" s="95"/>
      <c r="M46" s="192"/>
      <c r="N46" s="47"/>
      <c r="O46" s="47"/>
      <c r="P46" s="47"/>
      <c r="Q46" s="200"/>
      <c r="S46" s="208"/>
    </row>
    <row r="47" spans="2:19" ht="15" customHeight="1">
      <c r="B47" s="90" t="s">
        <v>66</v>
      </c>
      <c r="C47" s="142" t="s">
        <v>203</v>
      </c>
      <c r="D47" s="91"/>
      <c r="E47" s="91"/>
      <c r="F47" s="92" t="s">
        <v>67</v>
      </c>
      <c r="G47" s="129">
        <f>'03.- Cubicaciones'!C36</f>
        <v>20</v>
      </c>
      <c r="H47" s="94">
        <f>'7.1'!$G$4</f>
        <v>137616.83400000003</v>
      </c>
      <c r="I47" s="95">
        <f>IF(G47="","",G47*H47)</f>
        <v>2752336.6800000006</v>
      </c>
      <c r="M47" s="192">
        <f>'7.1'!$M$4</f>
        <v>2408292.2399999998</v>
      </c>
      <c r="N47" s="47">
        <f>'7.1'!$N$4</f>
        <v>192259.26</v>
      </c>
      <c r="O47" s="47">
        <f>'7.1'!$O$4</f>
        <v>0</v>
      </c>
      <c r="P47" s="47">
        <f>'7.1'!$P$4</f>
        <v>151785.18</v>
      </c>
      <c r="Q47" s="200">
        <f t="shared" ref="Q47:Q53" si="29">SUM(M47:P47)</f>
        <v>2752336.68</v>
      </c>
      <c r="S47" s="208">
        <f t="shared" ref="S47:S53" si="30">I47-Q47</f>
        <v>0</v>
      </c>
    </row>
    <row r="48" spans="2:19" ht="15" customHeight="1">
      <c r="B48" s="90" t="s">
        <v>84</v>
      </c>
      <c r="C48" s="142" t="s">
        <v>122</v>
      </c>
      <c r="D48" s="91"/>
      <c r="E48" s="91"/>
      <c r="F48" s="92" t="s">
        <v>67</v>
      </c>
      <c r="G48" s="129">
        <f>'03.- Cubicaciones'!C37</f>
        <v>2.5</v>
      </c>
      <c r="H48" s="94">
        <f>'7.2'!$G$4</f>
        <v>120719.806</v>
      </c>
      <c r="I48" s="95">
        <f>IF(G48="","",G48*H48)</f>
        <v>301799.51500000001</v>
      </c>
      <c r="M48" s="192">
        <f>'7.2'!$M$4</f>
        <v>272960.625</v>
      </c>
      <c r="N48" s="47">
        <f>'7.2'!$N$4</f>
        <v>24032.407500000001</v>
      </c>
      <c r="O48" s="47">
        <f>'7.2'!$O$4</f>
        <v>0</v>
      </c>
      <c r="P48" s="47">
        <f>'7.2'!$P$4</f>
        <v>4806.4825000000001</v>
      </c>
      <c r="Q48" s="200">
        <f t="shared" si="29"/>
        <v>301799.51499999996</v>
      </c>
      <c r="S48" s="208">
        <f t="shared" si="30"/>
        <v>0</v>
      </c>
    </row>
    <row r="49" spans="2:19" ht="15" customHeight="1">
      <c r="B49" s="90" t="s">
        <v>85</v>
      </c>
      <c r="C49" s="142" t="s">
        <v>123</v>
      </c>
      <c r="D49" s="91"/>
      <c r="E49" s="91"/>
      <c r="F49" s="92" t="s">
        <v>67</v>
      </c>
      <c r="G49" s="129">
        <f>'03.- Cubicaciones'!C38</f>
        <v>24.377500000000005</v>
      </c>
      <c r="H49" s="94">
        <f>'7.3'!$G$4</f>
        <v>46609.265999999996</v>
      </c>
      <c r="I49" s="95">
        <f>IF(G49="","",G49*H49)</f>
        <v>1136217.381915</v>
      </c>
      <c r="M49" s="192">
        <f>'7.3'!$M$4</f>
        <v>633815.00000000012</v>
      </c>
      <c r="N49" s="47">
        <f>'7.3'!$N$4</f>
        <v>35150.989860000009</v>
      </c>
      <c r="O49" s="47">
        <f>'7.3'!$O$4</f>
        <v>0</v>
      </c>
      <c r="P49" s="47">
        <f>'7.3'!$P$4</f>
        <v>467251.39205500006</v>
      </c>
      <c r="Q49" s="200">
        <f t="shared" si="29"/>
        <v>1136217.3819150003</v>
      </c>
      <c r="S49" s="208">
        <f t="shared" si="30"/>
        <v>0</v>
      </c>
    </row>
    <row r="50" spans="2:19" ht="15" customHeight="1">
      <c r="B50" s="90" t="s">
        <v>132</v>
      </c>
      <c r="C50" s="142" t="s">
        <v>124</v>
      </c>
      <c r="D50" s="91"/>
      <c r="E50" s="91"/>
      <c r="F50" s="92" t="s">
        <v>67</v>
      </c>
      <c r="G50" s="129">
        <f>'03.- Cubicaciones'!C39</f>
        <v>48.050000000000004</v>
      </c>
      <c r="H50" s="94">
        <f>'7.4'!$G$4</f>
        <v>25500</v>
      </c>
      <c r="I50" s="95">
        <f t="shared" ref="I50:I53" si="31">IF(G50="","",G50*H50)</f>
        <v>1225275</v>
      </c>
      <c r="M50" s="192">
        <f>'7.4'!$M$4</f>
        <v>0</v>
      </c>
      <c r="N50" s="47">
        <f>'7.4'!$N$4</f>
        <v>0</v>
      </c>
      <c r="O50" s="47">
        <f>'7.4'!$O$4</f>
        <v>0</v>
      </c>
      <c r="P50" s="47">
        <f>'7.4'!$P$4</f>
        <v>1225275</v>
      </c>
      <c r="Q50" s="200">
        <f t="shared" si="29"/>
        <v>1225275</v>
      </c>
      <c r="S50" s="208">
        <f t="shared" si="30"/>
        <v>0</v>
      </c>
    </row>
    <row r="51" spans="2:19" ht="15" customHeight="1">
      <c r="B51" s="90" t="s">
        <v>133</v>
      </c>
      <c r="C51" s="142" t="s">
        <v>125</v>
      </c>
      <c r="D51" s="91"/>
      <c r="E51" s="91"/>
      <c r="F51" s="92" t="s">
        <v>18</v>
      </c>
      <c r="G51" s="129">
        <f>'03.- Cubicaciones'!C40</f>
        <v>95</v>
      </c>
      <c r="H51" s="94">
        <f>'7.5'!$G$4</f>
        <v>16475.795999999998</v>
      </c>
      <c r="I51" s="95">
        <f t="shared" si="31"/>
        <v>1565200.6199999999</v>
      </c>
      <c r="M51" s="192">
        <f>'7.5'!$M$4</f>
        <v>1124400.6199999999</v>
      </c>
      <c r="N51" s="47">
        <f>'7.5'!$N$4</f>
        <v>367333.36499999999</v>
      </c>
      <c r="O51" s="47">
        <f>'7.5'!$O$4</f>
        <v>0</v>
      </c>
      <c r="P51" s="47">
        <f>'7.5'!$P$4</f>
        <v>73466.634999999995</v>
      </c>
      <c r="Q51" s="200">
        <f t="shared" si="29"/>
        <v>1565200.6199999999</v>
      </c>
      <c r="S51" s="208">
        <f t="shared" si="30"/>
        <v>0</v>
      </c>
    </row>
    <row r="52" spans="2:19" ht="15" customHeight="1">
      <c r="B52" s="90" t="s">
        <v>134</v>
      </c>
      <c r="C52" s="142" t="s">
        <v>161</v>
      </c>
      <c r="D52" s="91"/>
      <c r="E52" s="91"/>
      <c r="F52" s="92" t="s">
        <v>75</v>
      </c>
      <c r="G52" s="129">
        <f>'03.- Cubicaciones'!C41</f>
        <v>600</v>
      </c>
      <c r="H52" s="94">
        <f>'7.6'!$G$4</f>
        <v>1644.3330000000001</v>
      </c>
      <c r="I52" s="95">
        <f t="shared" si="31"/>
        <v>986599.8</v>
      </c>
      <c r="M52" s="192">
        <f>'7.6'!$M$4</f>
        <v>626599.80000000005</v>
      </c>
      <c r="N52" s="47">
        <f>'7.6'!$N$4</f>
        <v>0</v>
      </c>
      <c r="O52" s="47">
        <f>'7.6'!$O$4</f>
        <v>360000</v>
      </c>
      <c r="P52" s="47">
        <f>'7.6'!$P$4</f>
        <v>0</v>
      </c>
      <c r="Q52" s="200">
        <f t="shared" si="29"/>
        <v>986599.8</v>
      </c>
      <c r="S52" s="208">
        <f t="shared" si="30"/>
        <v>0</v>
      </c>
    </row>
    <row r="53" spans="2:19" ht="15" customHeight="1">
      <c r="B53" s="90" t="s">
        <v>135</v>
      </c>
      <c r="C53" s="142" t="s">
        <v>126</v>
      </c>
      <c r="D53" s="91"/>
      <c r="E53" s="91"/>
      <c r="F53" s="92" t="s">
        <v>76</v>
      </c>
      <c r="G53" s="129">
        <f>'03.- Cubicaciones'!C42</f>
        <v>20</v>
      </c>
      <c r="H53" s="94">
        <f>'7.7'!$G$4</f>
        <v>11342.214</v>
      </c>
      <c r="I53" s="95">
        <f t="shared" si="31"/>
        <v>226844.28</v>
      </c>
      <c r="M53" s="192">
        <f>'7.7'!$M$4</f>
        <v>197844.28</v>
      </c>
      <c r="N53" s="47">
        <f>'7.7'!$N$4</f>
        <v>24166.660000000003</v>
      </c>
      <c r="O53" s="47">
        <f>'7.7'!$O$4</f>
        <v>0</v>
      </c>
      <c r="P53" s="47">
        <f>'7.7'!$P$4</f>
        <v>4833.34</v>
      </c>
      <c r="Q53" s="200">
        <f t="shared" si="29"/>
        <v>226844.28</v>
      </c>
      <c r="S53" s="208">
        <f t="shared" si="30"/>
        <v>0</v>
      </c>
    </row>
    <row r="54" spans="2:19" ht="15" customHeight="1">
      <c r="B54" s="90" t="s">
        <v>136</v>
      </c>
      <c r="C54" s="142" t="s">
        <v>128</v>
      </c>
      <c r="D54" s="91"/>
      <c r="E54" s="91"/>
      <c r="F54" s="92" t="s">
        <v>75</v>
      </c>
      <c r="G54" s="129">
        <f>'03.- Cubicaciones'!C43</f>
        <v>180</v>
      </c>
      <c r="H54" s="94">
        <f>'7.8'!$G$4</f>
        <v>2586.7730000000001</v>
      </c>
      <c r="I54" s="95">
        <f t="shared" ref="I54:I56" si="32">IF(G54="","",G54*H54)</f>
        <v>465619.14</v>
      </c>
      <c r="M54" s="192">
        <f>'7.8'!$M$4</f>
        <v>257979.06000000003</v>
      </c>
      <c r="N54" s="47">
        <f>'7.8'!$N$4</f>
        <v>173033.46</v>
      </c>
      <c r="O54" s="47">
        <f>'7.8'!$O$4</f>
        <v>0</v>
      </c>
      <c r="P54" s="47">
        <f>'7.8'!$P$4</f>
        <v>34606.619999999995</v>
      </c>
      <c r="Q54" s="200">
        <f t="shared" ref="Q54:Q56" si="33">SUM(M54:P54)</f>
        <v>465619.14</v>
      </c>
      <c r="S54" s="208">
        <f t="shared" ref="S54:S56" si="34">I54-Q54</f>
        <v>0</v>
      </c>
    </row>
    <row r="55" spans="2:19" ht="15" customHeight="1">
      <c r="B55" s="90" t="s">
        <v>137</v>
      </c>
      <c r="C55" s="142" t="s">
        <v>129</v>
      </c>
      <c r="D55" s="91"/>
      <c r="E55" s="91"/>
      <c r="F55" s="92" t="s">
        <v>18</v>
      </c>
      <c r="G55" s="129">
        <f>'03.- Cubicaciones'!C44</f>
        <v>19</v>
      </c>
      <c r="H55" s="94">
        <f>'7.9'!$G$4</f>
        <v>85931.567999999999</v>
      </c>
      <c r="I55" s="95">
        <f t="shared" si="32"/>
        <v>1632699.7919999999</v>
      </c>
      <c r="M55" s="192">
        <f>'7.9'!$M$4</f>
        <v>863199.79200000002</v>
      </c>
      <c r="N55" s="47">
        <f>'7.9'!$N$4</f>
        <v>0</v>
      </c>
      <c r="O55" s="47">
        <f>'7.9'!$O$4</f>
        <v>769500</v>
      </c>
      <c r="P55" s="47">
        <f>'7.9'!$P$4</f>
        <v>0</v>
      </c>
      <c r="Q55" s="200">
        <f t="shared" si="33"/>
        <v>1632699.7919999999</v>
      </c>
      <c r="S55" s="208">
        <f t="shared" si="34"/>
        <v>0</v>
      </c>
    </row>
    <row r="56" spans="2:19" ht="15" customHeight="1">
      <c r="B56" s="90" t="s">
        <v>138</v>
      </c>
      <c r="C56" s="142" t="s">
        <v>130</v>
      </c>
      <c r="D56" s="91"/>
      <c r="E56" s="91"/>
      <c r="F56" s="92" t="s">
        <v>65</v>
      </c>
      <c r="G56" s="129">
        <f>'03.- Cubicaciones'!C45</f>
        <v>60</v>
      </c>
      <c r="H56" s="94">
        <f>'7.10'!$G$4</f>
        <v>4973.7250000000004</v>
      </c>
      <c r="I56" s="95">
        <f t="shared" si="32"/>
        <v>298423.5</v>
      </c>
      <c r="M56" s="192">
        <f>'7.10'!$M$4</f>
        <v>175573.5</v>
      </c>
      <c r="N56" s="47">
        <f>'7.10'!$N$4</f>
        <v>0</v>
      </c>
      <c r="O56" s="47">
        <f>'7.10'!$O$4</f>
        <v>122850</v>
      </c>
      <c r="P56" s="47">
        <f>'7.10'!$P$4</f>
        <v>0</v>
      </c>
      <c r="Q56" s="200">
        <f t="shared" si="33"/>
        <v>298423.5</v>
      </c>
      <c r="S56" s="208">
        <f t="shared" si="34"/>
        <v>0</v>
      </c>
    </row>
    <row r="57" spans="2:19" ht="15" customHeight="1">
      <c r="B57" s="90" t="s">
        <v>139</v>
      </c>
      <c r="C57" s="142" t="s">
        <v>131</v>
      </c>
      <c r="D57" s="91"/>
      <c r="E57" s="91"/>
      <c r="F57" s="92" t="s">
        <v>65</v>
      </c>
      <c r="G57" s="129">
        <f>'03.- Cubicaciones'!C46</f>
        <v>50</v>
      </c>
      <c r="H57" s="94">
        <f>'7.11'!$G$4</f>
        <v>12127.177</v>
      </c>
      <c r="I57" s="95">
        <f t="shared" ref="I57" si="35">IF(G57="","",G57*H57)</f>
        <v>606358.85</v>
      </c>
      <c r="M57" s="192">
        <f>'7.11'!$M$4</f>
        <v>317936.94999999995</v>
      </c>
      <c r="N57" s="47">
        <f>'7.11'!$N$4</f>
        <v>0</v>
      </c>
      <c r="O57" s="47">
        <f>'7.11'!$O$4</f>
        <v>288421.90000000002</v>
      </c>
      <c r="P57" s="47">
        <f>'7.11'!$P$4</f>
        <v>0</v>
      </c>
      <c r="Q57" s="200">
        <f t="shared" ref="Q57" si="36">SUM(M57:P57)</f>
        <v>606358.85</v>
      </c>
      <c r="S57" s="208">
        <f t="shared" ref="S57" si="37">I57-Q57</f>
        <v>0</v>
      </c>
    </row>
    <row r="58" spans="2:19" ht="15" customHeight="1">
      <c r="B58" s="127">
        <v>8</v>
      </c>
      <c r="C58" s="128" t="s">
        <v>140</v>
      </c>
      <c r="D58" s="91"/>
      <c r="E58" s="91"/>
      <c r="F58" s="92"/>
      <c r="G58" s="129"/>
      <c r="H58" s="94"/>
      <c r="I58" s="95"/>
      <c r="M58" s="192"/>
      <c r="N58" s="47"/>
      <c r="O58" s="47"/>
      <c r="P58" s="47"/>
      <c r="Q58" s="200"/>
      <c r="S58" s="208"/>
    </row>
    <row r="59" spans="2:19" ht="15" customHeight="1">
      <c r="B59" s="90" t="s">
        <v>141</v>
      </c>
      <c r="C59" s="142" t="s">
        <v>121</v>
      </c>
      <c r="D59" s="91"/>
      <c r="E59" s="91"/>
      <c r="F59" s="92" t="s">
        <v>67</v>
      </c>
      <c r="G59" s="129">
        <f>'03.- Cubicaciones'!C48</f>
        <v>5.9159999999999995</v>
      </c>
      <c r="H59" s="94">
        <f>'8.1'!$G$4</f>
        <v>141504.26700000002</v>
      </c>
      <c r="I59" s="95">
        <f>IF(G59="","",G59*H59)</f>
        <v>837139.24357200006</v>
      </c>
      <c r="M59" s="192">
        <f>'8.1'!$M$4</f>
        <v>735370.89821999986</v>
      </c>
      <c r="N59" s="47">
        <f>'8.1'!$N$4</f>
        <v>56870.289107999997</v>
      </c>
      <c r="O59" s="47">
        <f>'8.1'!$O$4</f>
        <v>0</v>
      </c>
      <c r="P59" s="47">
        <f>'8.1'!$P$4</f>
        <v>44898.056243999999</v>
      </c>
      <c r="Q59" s="200">
        <f t="shared" ref="Q59:Q65" si="38">SUM(M59:P59)</f>
        <v>837139.24357199983</v>
      </c>
      <c r="S59" s="208">
        <f t="shared" ref="S59:S65" si="39">I59-Q59</f>
        <v>0</v>
      </c>
    </row>
    <row r="60" spans="2:19" ht="15" customHeight="1">
      <c r="B60" s="90" t="s">
        <v>142</v>
      </c>
      <c r="C60" s="142" t="s">
        <v>122</v>
      </c>
      <c r="D60" s="91"/>
      <c r="E60" s="91"/>
      <c r="F60" s="92" t="s">
        <v>67</v>
      </c>
      <c r="G60" s="129">
        <f>'03.- Cubicaciones'!C49</f>
        <v>0.49299999999999999</v>
      </c>
      <c r="H60" s="94">
        <f>'8.2'!$G$4</f>
        <v>120719.806</v>
      </c>
      <c r="I60" s="95">
        <f>IF(G60="","",G60*H60)</f>
        <v>59514.864357999999</v>
      </c>
      <c r="M60" s="192">
        <f>'8.2'!$M$4</f>
        <v>53827.835249999996</v>
      </c>
      <c r="N60" s="47">
        <f>'8.2'!$N$4</f>
        <v>4739.1907590000001</v>
      </c>
      <c r="O60" s="47">
        <f>'8.2'!$O$4</f>
        <v>0</v>
      </c>
      <c r="P60" s="47">
        <f>'8.2'!$P$4</f>
        <v>947.83834899999999</v>
      </c>
      <c r="Q60" s="200">
        <f t="shared" si="38"/>
        <v>59514.864357999992</v>
      </c>
      <c r="S60" s="208">
        <f t="shared" si="39"/>
        <v>0</v>
      </c>
    </row>
    <row r="61" spans="2:19" ht="15" customHeight="1">
      <c r="B61" s="90" t="s">
        <v>143</v>
      </c>
      <c r="C61" s="142" t="s">
        <v>123</v>
      </c>
      <c r="D61" s="91"/>
      <c r="E61" s="91"/>
      <c r="F61" s="92" t="s">
        <v>67</v>
      </c>
      <c r="G61" s="129">
        <f>'03.- Cubicaciones'!C50</f>
        <v>7.6415000000000006</v>
      </c>
      <c r="H61" s="94">
        <f>'8.3'!$G$4</f>
        <v>84110.440999999992</v>
      </c>
      <c r="I61" s="95">
        <f>IF(G61="","",G61*H61)</f>
        <v>642729.9349015</v>
      </c>
      <c r="M61" s="192">
        <f>'8.3'!$M$4</f>
        <v>198679.00000000003</v>
      </c>
      <c r="N61" s="47">
        <f>'8.3'!$N$4</f>
        <v>11018.615076000002</v>
      </c>
      <c r="O61" s="47">
        <f>'8.3'!$O$4</f>
        <v>0</v>
      </c>
      <c r="P61" s="47">
        <f>'8.3'!$P$4</f>
        <v>433032.31982550002</v>
      </c>
      <c r="Q61" s="200">
        <f t="shared" si="38"/>
        <v>642729.93490150012</v>
      </c>
      <c r="S61" s="208">
        <f t="shared" si="39"/>
        <v>0</v>
      </c>
    </row>
    <row r="62" spans="2:19" ht="15" customHeight="1">
      <c r="B62" s="90" t="s">
        <v>144</v>
      </c>
      <c r="C62" s="142" t="s">
        <v>124</v>
      </c>
      <c r="D62" s="91"/>
      <c r="E62" s="91"/>
      <c r="F62" s="92" t="s">
        <v>67</v>
      </c>
      <c r="G62" s="129">
        <f>'03.- Cubicaciones'!C51</f>
        <v>15.283000000000001</v>
      </c>
      <c r="H62" s="94">
        <f>'8.4'!$G$4</f>
        <v>25500</v>
      </c>
      <c r="I62" s="95">
        <f t="shared" ref="I62:I65" si="40">IF(G62="","",G62*H62)</f>
        <v>389716.50000000006</v>
      </c>
      <c r="M62" s="192">
        <f>'8.4'!$M$4</f>
        <v>0</v>
      </c>
      <c r="N62" s="47">
        <f>'8.4'!$N$4</f>
        <v>0</v>
      </c>
      <c r="O62" s="47">
        <f>'8.4'!$O$4</f>
        <v>0</v>
      </c>
      <c r="P62" s="47">
        <f>'8.4'!$P$4</f>
        <v>389716.5</v>
      </c>
      <c r="Q62" s="200">
        <f t="shared" si="38"/>
        <v>389716.5</v>
      </c>
      <c r="S62" s="208">
        <f t="shared" si="39"/>
        <v>0</v>
      </c>
    </row>
    <row r="63" spans="2:19" ht="15" customHeight="1">
      <c r="B63" s="90" t="s">
        <v>145</v>
      </c>
      <c r="C63" s="142" t="s">
        <v>125</v>
      </c>
      <c r="D63" s="91"/>
      <c r="E63" s="91"/>
      <c r="F63" s="92" t="s">
        <v>18</v>
      </c>
      <c r="G63" s="129">
        <f>'03.- Cubicaciones'!C52</f>
        <v>26.16</v>
      </c>
      <c r="H63" s="94">
        <f>'8.5'!$G$4</f>
        <v>16475.795999999998</v>
      </c>
      <c r="I63" s="95">
        <f t="shared" si="40"/>
        <v>431006.82335999998</v>
      </c>
      <c r="M63" s="192">
        <f>'8.5'!$M$4</f>
        <v>309624.42336000002</v>
      </c>
      <c r="N63" s="47">
        <f>'8.5'!$N$4</f>
        <v>101152.00872</v>
      </c>
      <c r="O63" s="47">
        <f>'8.5'!$O$4</f>
        <v>0</v>
      </c>
      <c r="P63" s="47">
        <f>'8.5'!$P$4</f>
        <v>20230.39128</v>
      </c>
      <c r="Q63" s="200">
        <f t="shared" si="38"/>
        <v>431006.82335999998</v>
      </c>
      <c r="S63" s="208">
        <f t="shared" si="39"/>
        <v>0</v>
      </c>
    </row>
    <row r="64" spans="2:19" ht="15" customHeight="1">
      <c r="B64" s="90" t="s">
        <v>146</v>
      </c>
      <c r="C64" s="142" t="s">
        <v>161</v>
      </c>
      <c r="D64" s="91"/>
      <c r="E64" s="91"/>
      <c r="F64" s="92" t="s">
        <v>75</v>
      </c>
      <c r="G64" s="129">
        <f>'03.- Cubicaciones'!C53</f>
        <v>392</v>
      </c>
      <c r="H64" s="94">
        <f>'8.6'!$G$4</f>
        <v>1644.3330000000001</v>
      </c>
      <c r="I64" s="95">
        <f t="shared" si="40"/>
        <v>644578.53600000008</v>
      </c>
      <c r="M64" s="192">
        <f>'8.6'!$M$4</f>
        <v>409378.53600000002</v>
      </c>
      <c r="N64" s="47">
        <f>'8.6'!$N$4</f>
        <v>0</v>
      </c>
      <c r="O64" s="47">
        <f>'8.6'!$O$4</f>
        <v>235200</v>
      </c>
      <c r="P64" s="47">
        <f>'8.6'!$P$4</f>
        <v>0</v>
      </c>
      <c r="Q64" s="200">
        <f t="shared" si="38"/>
        <v>644578.53600000008</v>
      </c>
      <c r="S64" s="208">
        <f t="shared" si="39"/>
        <v>0</v>
      </c>
    </row>
    <row r="65" spans="2:19" ht="15" customHeight="1">
      <c r="B65" s="90" t="s">
        <v>147</v>
      </c>
      <c r="C65" s="142" t="s">
        <v>126</v>
      </c>
      <c r="D65" s="91"/>
      <c r="E65" s="91"/>
      <c r="F65" s="92" t="s">
        <v>76</v>
      </c>
      <c r="G65" s="129">
        <f>'03.- Cubicaciones'!C54</f>
        <v>64</v>
      </c>
      <c r="H65" s="94">
        <f>'8.7'!$G$4</f>
        <v>11342.214</v>
      </c>
      <c r="I65" s="95">
        <f t="shared" si="40"/>
        <v>725901.696</v>
      </c>
      <c r="M65" s="192">
        <f>'8.7'!$M$4</f>
        <v>633101.696</v>
      </c>
      <c r="N65" s="47">
        <f>'8.7'!$N$4</f>
        <v>77333.312000000005</v>
      </c>
      <c r="O65" s="47">
        <f>'8.7'!$O$4</f>
        <v>0</v>
      </c>
      <c r="P65" s="47">
        <f>'8.7'!$P$4</f>
        <v>15466.688</v>
      </c>
      <c r="Q65" s="200">
        <f t="shared" si="38"/>
        <v>725901.696</v>
      </c>
      <c r="S65" s="208">
        <f t="shared" si="39"/>
        <v>0</v>
      </c>
    </row>
    <row r="66" spans="2:19" ht="15" customHeight="1">
      <c r="B66" s="127">
        <v>9</v>
      </c>
      <c r="C66" s="128" t="s">
        <v>148</v>
      </c>
      <c r="D66" s="91"/>
      <c r="E66" s="91"/>
      <c r="F66" s="92"/>
      <c r="G66" s="129"/>
      <c r="H66" s="94"/>
      <c r="I66" s="95"/>
      <c r="M66" s="192"/>
      <c r="N66" s="47"/>
      <c r="O66" s="47"/>
      <c r="P66" s="47"/>
      <c r="Q66" s="200"/>
      <c r="S66" s="208"/>
    </row>
    <row r="67" spans="2:19" ht="15" customHeight="1">
      <c r="B67" s="90" t="s">
        <v>151</v>
      </c>
      <c r="C67" s="142" t="s">
        <v>150</v>
      </c>
      <c r="D67" s="91"/>
      <c r="E67" s="91"/>
      <c r="F67" s="92" t="s">
        <v>67</v>
      </c>
      <c r="G67" s="129">
        <f>'03.- Cubicaciones'!C56</f>
        <v>2.1120000000000001</v>
      </c>
      <c r="H67" s="94">
        <f>'9.1'!$G$4</f>
        <v>222362.554</v>
      </c>
      <c r="I67" s="95">
        <f>IF(G67="","",G67*H67)</f>
        <v>469629.71404800005</v>
      </c>
      <c r="M67" s="192">
        <f>'9.1'!$M$4</f>
        <v>331218.62188799999</v>
      </c>
      <c r="N67" s="47">
        <f>'9.1'!$N$4</f>
        <v>105369.24499200001</v>
      </c>
      <c r="O67" s="47">
        <f>'9.1'!$O$4</f>
        <v>0</v>
      </c>
      <c r="P67" s="47">
        <f>'9.1'!$P$4</f>
        <v>33041.847168</v>
      </c>
      <c r="Q67" s="200">
        <f t="shared" ref="Q67:Q72" si="41">SUM(M67:P67)</f>
        <v>469629.71404799999</v>
      </c>
      <c r="S67" s="208">
        <f t="shared" ref="S67:S72" si="42">I67-Q67</f>
        <v>0</v>
      </c>
    </row>
    <row r="68" spans="2:19" ht="15" customHeight="1">
      <c r="B68" s="90" t="s">
        <v>152</v>
      </c>
      <c r="C68" s="142" t="s">
        <v>122</v>
      </c>
      <c r="D68" s="91"/>
      <c r="E68" s="91"/>
      <c r="F68" s="92" t="s">
        <v>67</v>
      </c>
      <c r="G68" s="129">
        <f>'03.- Cubicaciones'!C57</f>
        <v>0.18049999999999999</v>
      </c>
      <c r="H68" s="94">
        <f>'9.2'!$G$4</f>
        <v>120719.806</v>
      </c>
      <c r="I68" s="95">
        <f>IF(G68="","",G68*H68)</f>
        <v>21789.924982999997</v>
      </c>
      <c r="M68" s="192">
        <f>'9.2'!$M$4</f>
        <v>19707.757124999996</v>
      </c>
      <c r="N68" s="47">
        <f>'9.2'!$N$4</f>
        <v>1735.1398214999999</v>
      </c>
      <c r="O68" s="47">
        <f>'9.2'!$O$4</f>
        <v>0</v>
      </c>
      <c r="P68" s="47">
        <f>'9.2'!$P$4</f>
        <v>347.02803649999998</v>
      </c>
      <c r="Q68" s="200">
        <f t="shared" si="41"/>
        <v>21789.924982999997</v>
      </c>
      <c r="S68" s="208">
        <f t="shared" si="42"/>
        <v>0</v>
      </c>
    </row>
    <row r="69" spans="2:19" ht="15" customHeight="1">
      <c r="B69" s="90" t="s">
        <v>153</v>
      </c>
      <c r="C69" s="142" t="s">
        <v>128</v>
      </c>
      <c r="D69" s="91"/>
      <c r="E69" s="91"/>
      <c r="F69" s="92" t="s">
        <v>75</v>
      </c>
      <c r="G69" s="129">
        <f>'03.- Cubicaciones'!C58</f>
        <v>66</v>
      </c>
      <c r="H69" s="94">
        <f>'9.3'!$G$4</f>
        <v>2586.7730000000001</v>
      </c>
      <c r="I69" s="95">
        <f t="shared" ref="I69:I71" si="43">IF(G69="","",G69*H69)</f>
        <v>170727.01800000001</v>
      </c>
      <c r="M69" s="192">
        <f>'9.3'!$M$4</f>
        <v>94592.322</v>
      </c>
      <c r="N69" s="47">
        <f>'9.3'!$N$4</f>
        <v>63445.601999999999</v>
      </c>
      <c r="O69" s="47">
        <f>'9.3'!$O$4</f>
        <v>0</v>
      </c>
      <c r="P69" s="47">
        <f>'9.3'!$P$4</f>
        <v>12689.093999999999</v>
      </c>
      <c r="Q69" s="200">
        <f t="shared" si="41"/>
        <v>170727.01800000001</v>
      </c>
      <c r="S69" s="208">
        <f t="shared" si="42"/>
        <v>0</v>
      </c>
    </row>
    <row r="70" spans="2:19" ht="15" customHeight="1">
      <c r="B70" s="90" t="s">
        <v>154</v>
      </c>
      <c r="C70" s="142" t="s">
        <v>124</v>
      </c>
      <c r="D70" s="91"/>
      <c r="E70" s="91"/>
      <c r="F70" s="92" t="s">
        <v>67</v>
      </c>
      <c r="G70" s="129">
        <f>'03.- Cubicaciones'!C59</f>
        <v>6.1369999999999996</v>
      </c>
      <c r="H70" s="94">
        <f>'9.4'!$G$4</f>
        <v>25500</v>
      </c>
      <c r="I70" s="95">
        <f t="shared" si="43"/>
        <v>156493.5</v>
      </c>
      <c r="M70" s="192">
        <f>'9.4'!$M$4</f>
        <v>0</v>
      </c>
      <c r="N70" s="47">
        <f>'9.4'!$N$4</f>
        <v>0</v>
      </c>
      <c r="O70" s="47">
        <f>'9.4'!$O$4</f>
        <v>0</v>
      </c>
      <c r="P70" s="47">
        <f>'9.4'!$P$4</f>
        <v>156493.5</v>
      </c>
      <c r="Q70" s="200">
        <f t="shared" si="41"/>
        <v>156493.5</v>
      </c>
      <c r="S70" s="208">
        <f t="shared" si="42"/>
        <v>0</v>
      </c>
    </row>
    <row r="71" spans="2:19" ht="15" customHeight="1">
      <c r="B71" s="90" t="s">
        <v>155</v>
      </c>
      <c r="C71" s="142" t="s">
        <v>125</v>
      </c>
      <c r="D71" s="91"/>
      <c r="E71" s="91"/>
      <c r="F71" s="92" t="s">
        <v>18</v>
      </c>
      <c r="G71" s="129">
        <f>'03.- Cubicaciones'!C60</f>
        <v>21.12</v>
      </c>
      <c r="H71" s="94">
        <f>'9.5'!$G$4</f>
        <v>16475.795999999998</v>
      </c>
      <c r="I71" s="95">
        <f t="shared" si="43"/>
        <v>347968.81151999999</v>
      </c>
      <c r="M71" s="192">
        <f>'9.5'!$M$4</f>
        <v>249972.01152</v>
      </c>
      <c r="N71" s="47">
        <f>'9.5'!$N$4</f>
        <v>81664.007039999997</v>
      </c>
      <c r="O71" s="47">
        <f>'9.5'!$O$4</f>
        <v>0</v>
      </c>
      <c r="P71" s="47">
        <f>'9.5'!$P$4</f>
        <v>16332.792960000001</v>
      </c>
      <c r="Q71" s="200">
        <f t="shared" si="41"/>
        <v>347968.81151999999</v>
      </c>
      <c r="S71" s="208">
        <f t="shared" si="42"/>
        <v>0</v>
      </c>
    </row>
    <row r="72" spans="2:19" ht="15" customHeight="1">
      <c r="B72" s="90" t="s">
        <v>156</v>
      </c>
      <c r="C72" s="142" t="s">
        <v>149</v>
      </c>
      <c r="D72" s="91"/>
      <c r="E72" s="91"/>
      <c r="F72" s="92" t="s">
        <v>76</v>
      </c>
      <c r="G72" s="129">
        <f>'03.- Cubicaciones'!C61</f>
        <v>1</v>
      </c>
      <c r="H72" s="94">
        <f>'9.6'!$G$4</f>
        <v>136004.34700000001</v>
      </c>
      <c r="I72" s="95">
        <f>IF(G72="","",G72*H72)</f>
        <v>136004.34700000001</v>
      </c>
      <c r="M72" s="192">
        <f>'9.6'!$M$4</f>
        <v>88379.346999999994</v>
      </c>
      <c r="N72" s="47">
        <f>'9.6'!$N$4</f>
        <v>27187.5</v>
      </c>
      <c r="O72" s="47">
        <f>'9.6'!$O$4</f>
        <v>0</v>
      </c>
      <c r="P72" s="47">
        <f>'9.6'!$P$4</f>
        <v>20437.5</v>
      </c>
      <c r="Q72" s="200">
        <f t="shared" si="41"/>
        <v>136004.34700000001</v>
      </c>
      <c r="S72" s="208">
        <f t="shared" si="42"/>
        <v>0</v>
      </c>
    </row>
    <row r="73" spans="2:19" ht="15" customHeight="1">
      <c r="B73" s="127">
        <v>10</v>
      </c>
      <c r="C73" s="128" t="s">
        <v>158</v>
      </c>
      <c r="D73" s="91"/>
      <c r="E73" s="91"/>
      <c r="F73" s="92"/>
      <c r="G73" s="129"/>
      <c r="H73" s="94"/>
      <c r="I73" s="95"/>
      <c r="M73" s="192"/>
      <c r="N73" s="47"/>
      <c r="O73" s="47"/>
      <c r="P73" s="47"/>
      <c r="Q73" s="200"/>
      <c r="S73" s="208"/>
    </row>
    <row r="74" spans="2:19" ht="15" customHeight="1">
      <c r="B74" s="90" t="s">
        <v>157</v>
      </c>
      <c r="C74" s="142" t="s">
        <v>159</v>
      </c>
      <c r="D74" s="91"/>
      <c r="E74" s="91"/>
      <c r="F74" s="92" t="s">
        <v>67</v>
      </c>
      <c r="G74" s="129">
        <f>'03.- Cubicaciones'!C63</f>
        <v>4.4486000000000008</v>
      </c>
      <c r="H74" s="94">
        <f>'10.1'!$G$4</f>
        <v>222362.554</v>
      </c>
      <c r="I74" s="95">
        <f>IF(G74="","",G74*H74)</f>
        <v>989202.05772440019</v>
      </c>
      <c r="M74" s="192">
        <f>'10.1'!$M$4</f>
        <v>697660.58775140019</v>
      </c>
      <c r="N74" s="47">
        <f>'10.1'!$N$4</f>
        <v>221943.95041260004</v>
      </c>
      <c r="O74" s="47">
        <f>'10.1'!$O$4</f>
        <v>0</v>
      </c>
      <c r="P74" s="47">
        <f>'10.1'!$P$4</f>
        <v>69597.519560400018</v>
      </c>
      <c r="Q74" s="200">
        <f t="shared" ref="Q74" si="44">SUM(M74:P74)</f>
        <v>989202.05772440031</v>
      </c>
      <c r="S74" s="208">
        <f t="shared" ref="S74" si="45">I74-Q74</f>
        <v>0</v>
      </c>
    </row>
    <row r="75" spans="2:19" ht="15" customHeight="1">
      <c r="B75" s="90" t="s">
        <v>162</v>
      </c>
      <c r="C75" s="142" t="s">
        <v>122</v>
      </c>
      <c r="D75" s="91"/>
      <c r="E75" s="91"/>
      <c r="F75" s="92" t="s">
        <v>67</v>
      </c>
      <c r="G75" s="129">
        <f>'03.- Cubicaciones'!C64</f>
        <v>1.1121500000000002</v>
      </c>
      <c r="H75" s="94">
        <f>'10.2'!$G$4</f>
        <v>120719.806</v>
      </c>
      <c r="I75" s="95">
        <f>IF(G75="","",G75*H75)</f>
        <v>134258.53224290002</v>
      </c>
      <c r="M75" s="192">
        <f>'10.2'!$M$4</f>
        <v>121429.26363750003</v>
      </c>
      <c r="N75" s="47">
        <f>'10.2'!$N$4</f>
        <v>10691.056800450002</v>
      </c>
      <c r="O75" s="47">
        <f>'10.2'!$O$4</f>
        <v>0</v>
      </c>
      <c r="P75" s="47">
        <f>'10.2'!$P$4</f>
        <v>2138.2118049500004</v>
      </c>
      <c r="Q75" s="200">
        <f t="shared" ref="Q75:Q81" si="46">SUM(M75:P75)</f>
        <v>134258.53224290002</v>
      </c>
      <c r="S75" s="208">
        <f t="shared" ref="S75:S81" si="47">I75-Q75</f>
        <v>0</v>
      </c>
    </row>
    <row r="76" spans="2:19" ht="15" customHeight="1">
      <c r="B76" s="90" t="s">
        <v>163</v>
      </c>
      <c r="C76" s="142" t="s">
        <v>123</v>
      </c>
      <c r="D76" s="91"/>
      <c r="E76" s="91"/>
      <c r="F76" s="92" t="s">
        <v>67</v>
      </c>
      <c r="G76" s="129">
        <f>'03.- Cubicaciones'!C65</f>
        <v>16</v>
      </c>
      <c r="H76" s="94">
        <f>'10.3'!$G$4</f>
        <v>55574.597000000002</v>
      </c>
      <c r="I76" s="95">
        <f>IF(G76="","",G76*H76)</f>
        <v>889193.55200000003</v>
      </c>
      <c r="M76" s="192">
        <f>'10.3'!$M$4</f>
        <v>416000</v>
      </c>
      <c r="N76" s="47">
        <f>'10.3'!$N$4</f>
        <v>23071.103999999999</v>
      </c>
      <c r="O76" s="47">
        <f>'10.3'!$O$4</f>
        <v>0</v>
      </c>
      <c r="P76" s="47">
        <f>'10.3'!$P$4</f>
        <v>450122.44799999997</v>
      </c>
      <c r="Q76" s="200">
        <f t="shared" si="46"/>
        <v>889193.55199999991</v>
      </c>
      <c r="S76" s="208">
        <f t="shared" si="47"/>
        <v>0</v>
      </c>
    </row>
    <row r="77" spans="2:19" ht="15" customHeight="1">
      <c r="B77" s="90" t="s">
        <v>164</v>
      </c>
      <c r="C77" s="142" t="s">
        <v>124</v>
      </c>
      <c r="D77" s="91"/>
      <c r="E77" s="91"/>
      <c r="F77" s="92" t="s">
        <v>67</v>
      </c>
      <c r="G77" s="129">
        <f>'03.- Cubicaciones'!C66</f>
        <v>7.78505</v>
      </c>
      <c r="H77" s="94">
        <f>'10.4'!$G$4</f>
        <v>25500</v>
      </c>
      <c r="I77" s="95">
        <f t="shared" ref="I77:I79" si="48">IF(G77="","",G77*H77)</f>
        <v>198518.77499999999</v>
      </c>
      <c r="M77" s="192">
        <f>'10.4'!$M$4</f>
        <v>0</v>
      </c>
      <c r="N77" s="47">
        <f>'10.4'!$N$4</f>
        <v>0</v>
      </c>
      <c r="O77" s="47">
        <f>'10.4'!$O$4</f>
        <v>0</v>
      </c>
      <c r="P77" s="47">
        <f>'10.4'!$P$4</f>
        <v>198518.77500000002</v>
      </c>
      <c r="Q77" s="200">
        <f t="shared" si="46"/>
        <v>198518.77500000002</v>
      </c>
      <c r="S77" s="208">
        <f t="shared" si="47"/>
        <v>0</v>
      </c>
    </row>
    <row r="78" spans="2:19" ht="15" customHeight="1">
      <c r="B78" s="90" t="s">
        <v>165</v>
      </c>
      <c r="C78" s="142" t="s">
        <v>125</v>
      </c>
      <c r="D78" s="91"/>
      <c r="E78" s="91"/>
      <c r="F78" s="92" t="s">
        <v>18</v>
      </c>
      <c r="G78" s="129">
        <f>'03.- Cubicaciones'!C67</f>
        <v>4.1960000000000006</v>
      </c>
      <c r="H78" s="94">
        <f>'10.5'!$G$4</f>
        <v>16475.795999999998</v>
      </c>
      <c r="I78" s="95">
        <f t="shared" si="48"/>
        <v>69132.440016000008</v>
      </c>
      <c r="M78" s="192">
        <f>'10.5'!$M$4</f>
        <v>49663.000016000013</v>
      </c>
      <c r="N78" s="47">
        <f>'10.5'!$N$4</f>
        <v>16224.534732000002</v>
      </c>
      <c r="O78" s="47">
        <f>'10.5'!$O$4</f>
        <v>0</v>
      </c>
      <c r="P78" s="47">
        <f>'10.5'!$P$4</f>
        <v>3244.9052680000004</v>
      </c>
      <c r="Q78" s="200">
        <f t="shared" si="46"/>
        <v>69132.440016000022</v>
      </c>
      <c r="S78" s="208">
        <f t="shared" si="47"/>
        <v>0</v>
      </c>
    </row>
    <row r="79" spans="2:19" ht="15" customHeight="1">
      <c r="B79" s="90" t="s">
        <v>166</v>
      </c>
      <c r="C79" s="142" t="s">
        <v>126</v>
      </c>
      <c r="D79" s="91"/>
      <c r="E79" s="91"/>
      <c r="F79" s="92" t="s">
        <v>76</v>
      </c>
      <c r="G79" s="129">
        <f>'03.- Cubicaciones'!C68</f>
        <v>10</v>
      </c>
      <c r="H79" s="94">
        <f>'10.6'!$G$4</f>
        <v>11342.214</v>
      </c>
      <c r="I79" s="95">
        <f t="shared" si="48"/>
        <v>113422.14</v>
      </c>
      <c r="M79" s="192">
        <f>'10.6'!$M$4</f>
        <v>98922.14</v>
      </c>
      <c r="N79" s="47">
        <f>'10.6'!$N$4</f>
        <v>12083.330000000002</v>
      </c>
      <c r="O79" s="47">
        <f>'10.6'!$O$4</f>
        <v>0</v>
      </c>
      <c r="P79" s="47">
        <f>'10.6'!$P$4</f>
        <v>2416.67</v>
      </c>
      <c r="Q79" s="200">
        <f t="shared" si="46"/>
        <v>113422.14</v>
      </c>
      <c r="S79" s="208">
        <f t="shared" si="47"/>
        <v>0</v>
      </c>
    </row>
    <row r="80" spans="2:19" ht="15" customHeight="1">
      <c r="B80" s="90" t="s">
        <v>167</v>
      </c>
      <c r="C80" s="142" t="s">
        <v>160</v>
      </c>
      <c r="D80" s="91"/>
      <c r="E80" s="91"/>
      <c r="F80" s="92" t="s">
        <v>76</v>
      </c>
      <c r="G80" s="129">
        <f>'03.- Cubicaciones'!C69</f>
        <v>21</v>
      </c>
      <c r="H80" s="94">
        <f>'10.7'!$G$4</f>
        <v>25620.332999999999</v>
      </c>
      <c r="I80" s="95">
        <f>IF(G80="","",G80*H80)</f>
        <v>538026.99300000002</v>
      </c>
      <c r="M80" s="192">
        <f>'10.7'!$M$4</f>
        <v>501690</v>
      </c>
      <c r="N80" s="47">
        <f>'10.7'!$N$4</f>
        <v>30280.824000000001</v>
      </c>
      <c r="O80" s="47">
        <f>'10.7'!$O$4</f>
        <v>0</v>
      </c>
      <c r="P80" s="47">
        <f>'10.7'!$P$4</f>
        <v>6056.1689999999999</v>
      </c>
      <c r="Q80" s="200">
        <f t="shared" si="46"/>
        <v>538026.99300000002</v>
      </c>
      <c r="S80" s="208">
        <f t="shared" si="47"/>
        <v>0</v>
      </c>
    </row>
    <row r="81" spans="2:19" ht="15" customHeight="1">
      <c r="B81" s="90" t="s">
        <v>168</v>
      </c>
      <c r="C81" s="142" t="s">
        <v>161</v>
      </c>
      <c r="D81" s="91"/>
      <c r="E81" s="91"/>
      <c r="F81" s="92" t="s">
        <v>75</v>
      </c>
      <c r="G81" s="129">
        <f>'03.- Cubicaciones'!C70</f>
        <v>149.916</v>
      </c>
      <c r="H81" s="94">
        <f>'10.8'!$G$4</f>
        <v>1644.3330000000001</v>
      </c>
      <c r="I81" s="95">
        <f>IF(G81="","",G81*H81)</f>
        <v>246511.82602800001</v>
      </c>
      <c r="M81" s="192">
        <f>'10.8'!$M$4</f>
        <v>156562.226028</v>
      </c>
      <c r="N81" s="47">
        <f>'10.8'!$N$4</f>
        <v>0</v>
      </c>
      <c r="O81" s="47">
        <f>'10.8'!$O$4</f>
        <v>89949.599999999991</v>
      </c>
      <c r="P81" s="47">
        <f>'10.8'!$P$4</f>
        <v>0</v>
      </c>
      <c r="Q81" s="200">
        <f t="shared" si="46"/>
        <v>246511.82602799998</v>
      </c>
      <c r="S81" s="208">
        <f t="shared" si="47"/>
        <v>0</v>
      </c>
    </row>
    <row r="82" spans="2:19" ht="15" customHeight="1">
      <c r="B82" s="127">
        <v>11</v>
      </c>
      <c r="C82" s="128" t="s">
        <v>184</v>
      </c>
      <c r="D82" s="91"/>
      <c r="E82" s="91"/>
      <c r="F82" s="92"/>
      <c r="G82" s="129"/>
      <c r="H82" s="94"/>
      <c r="I82" s="95"/>
      <c r="M82" s="192"/>
      <c r="N82" s="47"/>
      <c r="O82" s="47"/>
      <c r="P82" s="47"/>
      <c r="Q82" s="200"/>
      <c r="S82" s="208"/>
    </row>
    <row r="83" spans="2:19" ht="15" customHeight="1">
      <c r="B83" s="90" t="s">
        <v>172</v>
      </c>
      <c r="C83" s="142" t="s">
        <v>173</v>
      </c>
      <c r="D83" s="91"/>
      <c r="E83" s="91"/>
      <c r="F83" s="92" t="s">
        <v>76</v>
      </c>
      <c r="G83" s="129">
        <f>'03.- Cubicaciones'!C72</f>
        <v>1</v>
      </c>
      <c r="H83" s="94">
        <f>'11.1'!$G$4</f>
        <v>2168971.6880000001</v>
      </c>
      <c r="I83" s="95">
        <f>IF(G83="","",G83*H83)</f>
        <v>2168971.6880000001</v>
      </c>
      <c r="M83" s="192">
        <f>'11.1'!$M$4</f>
        <v>1754158.5860000001</v>
      </c>
      <c r="N83" s="47">
        <f>'11.1'!$N$4</f>
        <v>310300</v>
      </c>
      <c r="O83" s="47">
        <f>'11.1'!$O$4</f>
        <v>27453.101999999999</v>
      </c>
      <c r="P83" s="47">
        <f>'11.1'!$P$4</f>
        <v>77060</v>
      </c>
      <c r="Q83" s="200">
        <f t="shared" ref="Q83:Q86" si="49">SUM(M83:P83)</f>
        <v>2168971.6880000001</v>
      </c>
      <c r="S83" s="208">
        <f t="shared" ref="S83:S86" si="50">I83-Q83</f>
        <v>0</v>
      </c>
    </row>
    <row r="84" spans="2:19" ht="15" customHeight="1">
      <c r="B84" s="90" t="s">
        <v>169</v>
      </c>
      <c r="C84" s="142" t="s">
        <v>174</v>
      </c>
      <c r="D84" s="91"/>
      <c r="E84" s="91"/>
      <c r="F84" s="92" t="s">
        <v>65</v>
      </c>
      <c r="G84" s="129">
        <f>'03.- Cubicaciones'!C73</f>
        <v>3</v>
      </c>
      <c r="H84" s="94">
        <f>'11.2'!$G$4</f>
        <v>20083.493999999999</v>
      </c>
      <c r="I84" s="95">
        <f>IF(G84="","",G84*H84)</f>
        <v>60250.481999999996</v>
      </c>
      <c r="M84" s="192">
        <f>'11.2'!$M$4</f>
        <v>9250.482</v>
      </c>
      <c r="N84" s="47">
        <f>'11.2'!$N$4</f>
        <v>0</v>
      </c>
      <c r="O84" s="47">
        <f>'11.2'!$O$4</f>
        <v>51000</v>
      </c>
      <c r="P84" s="47">
        <f>'11.2'!$P$4</f>
        <v>0</v>
      </c>
      <c r="Q84" s="200">
        <f t="shared" ref="Q84" si="51">SUM(M84:P84)</f>
        <v>60250.482000000004</v>
      </c>
      <c r="S84" s="208">
        <f t="shared" ref="S84" si="52">I84-Q84</f>
        <v>0</v>
      </c>
    </row>
    <row r="85" spans="2:19" ht="15" customHeight="1">
      <c r="B85" s="90" t="s">
        <v>170</v>
      </c>
      <c r="C85" s="142" t="s">
        <v>175</v>
      </c>
      <c r="D85" s="91"/>
      <c r="E85" s="91"/>
      <c r="F85" s="92" t="s">
        <v>67</v>
      </c>
      <c r="G85" s="129">
        <f>'03.- Cubicaciones'!C74</f>
        <v>1.8</v>
      </c>
      <c r="H85" s="94">
        <f>'11.3'!$G$4</f>
        <v>34686.582999999999</v>
      </c>
      <c r="I85" s="95">
        <f>IF(G85="","",G85*H85)</f>
        <v>62435.849399999999</v>
      </c>
      <c r="M85" s="192">
        <f>'11.3'!$M$4</f>
        <v>56160</v>
      </c>
      <c r="N85" s="47">
        <f>'11.3'!$N$4</f>
        <v>2595.4992000000002</v>
      </c>
      <c r="O85" s="47">
        <f>'11.3'!$O$4</f>
        <v>0</v>
      </c>
      <c r="P85" s="47">
        <f>'11.3'!$P$4</f>
        <v>3680.3501999999999</v>
      </c>
      <c r="Q85" s="200">
        <f t="shared" si="49"/>
        <v>62435.849399999999</v>
      </c>
      <c r="S85" s="208">
        <f t="shared" si="50"/>
        <v>0</v>
      </c>
    </row>
    <row r="86" spans="2:19" ht="15" customHeight="1">
      <c r="B86" s="90" t="s">
        <v>171</v>
      </c>
      <c r="C86" s="142" t="s">
        <v>176</v>
      </c>
      <c r="D86" s="91"/>
      <c r="E86" s="91"/>
      <c r="F86" s="92" t="s">
        <v>67</v>
      </c>
      <c r="G86" s="129">
        <f>'03.- Cubicaciones'!C75</f>
        <v>3.2</v>
      </c>
      <c r="H86" s="94">
        <f>'11.4'!$G$4</f>
        <v>25500</v>
      </c>
      <c r="I86" s="95">
        <f>IF(G86="","",G86*H86)</f>
        <v>81600</v>
      </c>
      <c r="M86" s="192">
        <f>'11.4'!$M$4</f>
        <v>0</v>
      </c>
      <c r="N86" s="47">
        <f>'11.4'!$N$4</f>
        <v>0</v>
      </c>
      <c r="O86" s="47">
        <f>'11.4'!$O$4</f>
        <v>0</v>
      </c>
      <c r="P86" s="47">
        <f>'11.4'!$P$4</f>
        <v>81600</v>
      </c>
      <c r="Q86" s="200">
        <f t="shared" si="49"/>
        <v>81600</v>
      </c>
      <c r="S86" s="208">
        <f t="shared" si="50"/>
        <v>0</v>
      </c>
    </row>
    <row r="87" spans="2:19" ht="15" customHeight="1">
      <c r="B87" s="127">
        <v>12</v>
      </c>
      <c r="C87" s="128" t="s">
        <v>185</v>
      </c>
      <c r="D87" s="91"/>
      <c r="E87" s="91"/>
      <c r="F87" s="92"/>
      <c r="G87" s="129"/>
      <c r="H87" s="94"/>
      <c r="I87" s="95"/>
      <c r="M87" s="192"/>
      <c r="N87" s="47"/>
      <c r="O87" s="47"/>
      <c r="P87" s="47"/>
      <c r="Q87" s="200"/>
      <c r="S87" s="208"/>
    </row>
    <row r="88" spans="2:19" ht="15" customHeight="1">
      <c r="B88" s="90" t="s">
        <v>178</v>
      </c>
      <c r="C88" s="142" t="s">
        <v>150</v>
      </c>
      <c r="D88" s="91"/>
      <c r="E88" s="91"/>
      <c r="F88" s="92" t="s">
        <v>67</v>
      </c>
      <c r="G88" s="129">
        <f>'03.- Cubicaciones'!C77</f>
        <v>1.2</v>
      </c>
      <c r="H88" s="94">
        <f>'12.1'!$G$4</f>
        <v>222362.554</v>
      </c>
      <c r="I88" s="95">
        <f>IF(G88="","",G88*H88)</f>
        <v>266835.06479999999</v>
      </c>
      <c r="M88" s="192">
        <f>'12.1'!$M$4</f>
        <v>188192.3988</v>
      </c>
      <c r="N88" s="47">
        <f>'12.1'!$N$4</f>
        <v>59868.889199999998</v>
      </c>
      <c r="O88" s="47">
        <f>'12.1'!$O$4</f>
        <v>0</v>
      </c>
      <c r="P88" s="47">
        <f>'12.1'!$P$4</f>
        <v>18773.7768</v>
      </c>
      <c r="Q88" s="200">
        <f t="shared" ref="Q88:Q92" si="53">SUM(M88:P88)</f>
        <v>266835.06479999999</v>
      </c>
      <c r="S88" s="208">
        <f t="shared" ref="S88:S92" si="54">I88-Q88</f>
        <v>0</v>
      </c>
    </row>
    <row r="89" spans="2:19" ht="15" customHeight="1">
      <c r="B89" s="90" t="s">
        <v>179</v>
      </c>
      <c r="C89" s="142" t="s">
        <v>122</v>
      </c>
      <c r="D89" s="91"/>
      <c r="E89" s="91"/>
      <c r="F89" s="92" t="s">
        <v>67</v>
      </c>
      <c r="G89" s="129">
        <f>'03.- Cubicaciones'!C78</f>
        <v>0.1</v>
      </c>
      <c r="H89" s="94">
        <f>'12.2'!$G$4</f>
        <v>120719.806</v>
      </c>
      <c r="I89" s="95">
        <f>IF(G89="","",G89*H89)</f>
        <v>12071.980600000001</v>
      </c>
      <c r="M89" s="192">
        <f>'12.2'!$M$4</f>
        <v>10918.425000000001</v>
      </c>
      <c r="N89" s="47">
        <f>'12.2'!$N$4</f>
        <v>961.29630000000009</v>
      </c>
      <c r="O89" s="47">
        <f>'12.2'!$O$4</f>
        <v>0</v>
      </c>
      <c r="P89" s="47">
        <f>'12.2'!$P$4</f>
        <v>192.25930000000002</v>
      </c>
      <c r="Q89" s="200">
        <f t="shared" si="53"/>
        <v>12071.980600000001</v>
      </c>
      <c r="S89" s="208">
        <f t="shared" si="54"/>
        <v>0</v>
      </c>
    </row>
    <row r="90" spans="2:19" ht="15" customHeight="1">
      <c r="B90" s="90" t="s">
        <v>180</v>
      </c>
      <c r="C90" s="142" t="s">
        <v>124</v>
      </c>
      <c r="D90" s="91"/>
      <c r="E90" s="91"/>
      <c r="F90" s="92" t="s">
        <v>67</v>
      </c>
      <c r="G90" s="129">
        <f>'03.- Cubicaciones'!C79</f>
        <v>1.3</v>
      </c>
      <c r="H90" s="94">
        <f>'12.3'!$G$4</f>
        <v>25500</v>
      </c>
      <c r="I90" s="95">
        <f t="shared" ref="I90:I92" si="55">IF(G90="","",G90*H90)</f>
        <v>33150</v>
      </c>
      <c r="M90" s="192">
        <f>'12.3'!$M$4</f>
        <v>0</v>
      </c>
      <c r="N90" s="47">
        <f>'12.3'!$N$4</f>
        <v>0</v>
      </c>
      <c r="O90" s="47">
        <f>'12.3'!$O$4</f>
        <v>0</v>
      </c>
      <c r="P90" s="47">
        <f>'12.3'!$P$4</f>
        <v>33150</v>
      </c>
      <c r="Q90" s="200">
        <f t="shared" si="53"/>
        <v>33150</v>
      </c>
      <c r="S90" s="208">
        <f t="shared" si="54"/>
        <v>0</v>
      </c>
    </row>
    <row r="91" spans="2:19" ht="15" customHeight="1">
      <c r="B91" s="90" t="s">
        <v>181</v>
      </c>
      <c r="C91" s="142" t="s">
        <v>125</v>
      </c>
      <c r="D91" s="91"/>
      <c r="E91" s="91"/>
      <c r="F91" s="92" t="s">
        <v>18</v>
      </c>
      <c r="G91" s="129">
        <f>'03.- Cubicaciones'!C80</f>
        <v>17.3</v>
      </c>
      <c r="H91" s="94">
        <f>'12.4'!$G$4</f>
        <v>16475.795999999998</v>
      </c>
      <c r="I91" s="95">
        <f t="shared" si="55"/>
        <v>285031.2708</v>
      </c>
      <c r="M91" s="192">
        <f>'12.4'!$M$4</f>
        <v>204759.2708</v>
      </c>
      <c r="N91" s="47">
        <f>'12.4'!$N$4</f>
        <v>66893.339099999997</v>
      </c>
      <c r="O91" s="47">
        <f>'12.4'!$O$4</f>
        <v>0</v>
      </c>
      <c r="P91" s="47">
        <f>'12.4'!$P$4</f>
        <v>13378.660900000001</v>
      </c>
      <c r="Q91" s="200">
        <f t="shared" si="53"/>
        <v>285031.2708</v>
      </c>
      <c r="S91" s="208">
        <f t="shared" si="54"/>
        <v>0</v>
      </c>
    </row>
    <row r="92" spans="2:19" ht="15" customHeight="1">
      <c r="B92" s="90" t="s">
        <v>182</v>
      </c>
      <c r="C92" s="142" t="s">
        <v>128</v>
      </c>
      <c r="D92" s="91"/>
      <c r="E92" s="91"/>
      <c r="F92" s="92" t="s">
        <v>75</v>
      </c>
      <c r="G92" s="129">
        <f>'03.- Cubicaciones'!C81</f>
        <v>35</v>
      </c>
      <c r="H92" s="94">
        <f>'12.5'!$G$4</f>
        <v>2586.7730000000001</v>
      </c>
      <c r="I92" s="95">
        <f t="shared" si="55"/>
        <v>90537.055000000008</v>
      </c>
      <c r="M92" s="192">
        <f>'12.5'!$M$4</f>
        <v>50162.595000000001</v>
      </c>
      <c r="N92" s="47">
        <f>'12.5'!$N$4</f>
        <v>33645.394999999997</v>
      </c>
      <c r="O92" s="47">
        <f>'12.5'!$O$4</f>
        <v>0</v>
      </c>
      <c r="P92" s="47">
        <f>'12.5'!$P$4</f>
        <v>6729.0649999999996</v>
      </c>
      <c r="Q92" s="200">
        <f t="shared" si="53"/>
        <v>90537.054999999993</v>
      </c>
      <c r="S92" s="208">
        <f t="shared" si="54"/>
        <v>0</v>
      </c>
    </row>
    <row r="93" spans="2:19" ht="15" customHeight="1">
      <c r="B93" s="90" t="s">
        <v>183</v>
      </c>
      <c r="C93" s="142" t="s">
        <v>177</v>
      </c>
      <c r="D93" s="91"/>
      <c r="E93" s="91"/>
      <c r="F93" s="92" t="s">
        <v>65</v>
      </c>
      <c r="G93" s="129">
        <f>'03.- Cubicaciones'!C82</f>
        <v>32</v>
      </c>
      <c r="H93" s="94">
        <f>'12.6'!$G$4</f>
        <v>19571.289000000001</v>
      </c>
      <c r="I93" s="95">
        <f>IF(G93="","",G93*H93)</f>
        <v>626281.24800000002</v>
      </c>
      <c r="M93" s="192">
        <f>'12.6'!$M$4</f>
        <v>82281.248000000007</v>
      </c>
      <c r="N93" s="47">
        <f>'12.6'!$N$4</f>
        <v>0</v>
      </c>
      <c r="O93" s="47">
        <f>'12.6'!$O$4</f>
        <v>544000</v>
      </c>
      <c r="P93" s="47">
        <f>'12.6'!$P$4</f>
        <v>0</v>
      </c>
      <c r="Q93" s="200">
        <f t="shared" ref="Q93" si="56">SUM(M93:P93)</f>
        <v>626281.24800000002</v>
      </c>
      <c r="S93" s="208">
        <f t="shared" ref="S93" si="57">I93-Q93</f>
        <v>0</v>
      </c>
    </row>
    <row r="94" spans="2:19" ht="15" customHeight="1">
      <c r="B94" s="127">
        <v>13</v>
      </c>
      <c r="C94" s="128" t="s">
        <v>186</v>
      </c>
      <c r="D94" s="91"/>
      <c r="E94" s="91"/>
      <c r="F94" s="92"/>
      <c r="G94" s="129"/>
      <c r="H94" s="94"/>
      <c r="I94" s="95"/>
      <c r="M94" s="192"/>
      <c r="N94" s="47"/>
      <c r="O94" s="47"/>
      <c r="P94" s="47"/>
      <c r="Q94" s="200"/>
      <c r="S94" s="208"/>
    </row>
    <row r="95" spans="2:19" ht="15" customHeight="1">
      <c r="B95" s="90" t="s">
        <v>195</v>
      </c>
      <c r="C95" s="142" t="s">
        <v>187</v>
      </c>
      <c r="D95" s="91"/>
      <c r="E95" s="91"/>
      <c r="F95" s="92" t="s">
        <v>67</v>
      </c>
      <c r="G95" s="129">
        <f>'03.- Cubicaciones'!C84</f>
        <v>14.4</v>
      </c>
      <c r="H95" s="94">
        <f>'13.1'!$G$4</f>
        <v>34686.582999999999</v>
      </c>
      <c r="I95" s="95">
        <f t="shared" ref="I95:I102" si="58">IF(G95="","",G95*H95)</f>
        <v>499486.79519999999</v>
      </c>
      <c r="M95" s="192">
        <f>'13.1'!$M$4</f>
        <v>449280</v>
      </c>
      <c r="N95" s="47">
        <f>'13.1'!$N$4</f>
        <v>20763.993600000002</v>
      </c>
      <c r="O95" s="47">
        <f>'13.1'!$O$4</f>
        <v>0</v>
      </c>
      <c r="P95" s="47">
        <f>'13.1'!$P$4</f>
        <v>29442.801599999999</v>
      </c>
      <c r="Q95" s="200">
        <f t="shared" ref="Q95:Q102" si="59">SUM(M95:P95)</f>
        <v>499486.79519999999</v>
      </c>
      <c r="S95" s="208">
        <f t="shared" ref="S95:S102" si="60">I95-Q95</f>
        <v>0</v>
      </c>
    </row>
    <row r="96" spans="2:19" ht="15" customHeight="1">
      <c r="B96" s="90" t="s">
        <v>196</v>
      </c>
      <c r="C96" s="142" t="s">
        <v>188</v>
      </c>
      <c r="D96" s="91"/>
      <c r="E96" s="91"/>
      <c r="F96" s="92" t="s">
        <v>67</v>
      </c>
      <c r="G96" s="129">
        <f>'03.- Cubicaciones'!C85</f>
        <v>2.5</v>
      </c>
      <c r="H96" s="94">
        <f>'13.2'!$G$4</f>
        <v>37286.583000000006</v>
      </c>
      <c r="I96" s="95">
        <f t="shared" si="58"/>
        <v>93216.457500000019</v>
      </c>
      <c r="M96" s="192">
        <f>'13.2'!$M$4</f>
        <v>84500</v>
      </c>
      <c r="N96" s="47">
        <f>'13.2'!$N$4</f>
        <v>3604.8599999999997</v>
      </c>
      <c r="O96" s="47">
        <f>'13.2'!$O$4</f>
        <v>0</v>
      </c>
      <c r="P96" s="47">
        <f>'13.2'!$P$4</f>
        <v>5111.5974999999999</v>
      </c>
      <c r="Q96" s="200">
        <f t="shared" ref="Q96:Q100" si="61">SUM(M96:P96)</f>
        <v>93216.457500000004</v>
      </c>
      <c r="S96" s="208">
        <f t="shared" ref="S96:S100" si="62">I96-Q96</f>
        <v>0</v>
      </c>
    </row>
    <row r="97" spans="2:19" ht="15" customHeight="1">
      <c r="B97" s="90" t="s">
        <v>197</v>
      </c>
      <c r="C97" s="142" t="s">
        <v>189</v>
      </c>
      <c r="D97" s="91"/>
      <c r="E97" s="91"/>
      <c r="F97" s="92" t="s">
        <v>76</v>
      </c>
      <c r="G97" s="129">
        <f>'03.- Cubicaciones'!C86</f>
        <v>48</v>
      </c>
      <c r="H97" s="94">
        <f>'13.3'!$G$4</f>
        <v>18599.722000000002</v>
      </c>
      <c r="I97" s="95">
        <f t="shared" si="58"/>
        <v>892786.65600000008</v>
      </c>
      <c r="M97" s="192">
        <f>'13.3'!$M$4</f>
        <v>546720</v>
      </c>
      <c r="N97" s="47">
        <f>'13.3'!$N$4</f>
        <v>346066.65599999996</v>
      </c>
      <c r="O97" s="47">
        <f>'13.3'!$O$4</f>
        <v>0</v>
      </c>
      <c r="P97" s="47">
        <f>'13.3'!$P$4</f>
        <v>0</v>
      </c>
      <c r="Q97" s="200">
        <f t="shared" si="61"/>
        <v>892786.65599999996</v>
      </c>
      <c r="S97" s="208">
        <f t="shared" si="62"/>
        <v>0</v>
      </c>
    </row>
    <row r="98" spans="2:19" ht="15" customHeight="1">
      <c r="B98" s="90" t="s">
        <v>198</v>
      </c>
      <c r="C98" s="142" t="s">
        <v>190</v>
      </c>
      <c r="D98" s="91"/>
      <c r="E98" s="91"/>
      <c r="F98" s="92" t="s">
        <v>67</v>
      </c>
      <c r="G98" s="129">
        <f>'03.- Cubicaciones'!C87</f>
        <v>15</v>
      </c>
      <c r="H98" s="94">
        <f>'13.4'!$G$4</f>
        <v>25500</v>
      </c>
      <c r="I98" s="95">
        <f t="shared" si="58"/>
        <v>382500</v>
      </c>
      <c r="M98" s="192">
        <f>'13.4'!$M$4</f>
        <v>0</v>
      </c>
      <c r="N98" s="47">
        <f>'13.4'!$N$4</f>
        <v>0</v>
      </c>
      <c r="O98" s="47">
        <f>'13.4'!$O$4</f>
        <v>0</v>
      </c>
      <c r="P98" s="47">
        <f>'13.4'!$P$4</f>
        <v>382500</v>
      </c>
      <c r="Q98" s="200">
        <f t="shared" si="61"/>
        <v>382500</v>
      </c>
      <c r="S98" s="208">
        <f t="shared" si="62"/>
        <v>0</v>
      </c>
    </row>
    <row r="99" spans="2:19" ht="15" customHeight="1">
      <c r="B99" s="90" t="s">
        <v>199</v>
      </c>
      <c r="C99" s="142" t="s">
        <v>191</v>
      </c>
      <c r="D99" s="91"/>
      <c r="E99" s="91"/>
      <c r="F99" s="92" t="s">
        <v>65</v>
      </c>
      <c r="G99" s="129">
        <f>'03.- Cubicaciones'!C88</f>
        <v>36</v>
      </c>
      <c r="H99" s="94">
        <f>'13.5'!$G$4</f>
        <v>19571.289000000001</v>
      </c>
      <c r="I99" s="95">
        <f t="shared" si="58"/>
        <v>704566.40399999998</v>
      </c>
      <c r="M99" s="192">
        <f>'13.5'!$M$4</f>
        <v>92566.40400000001</v>
      </c>
      <c r="N99" s="47">
        <f>'13.5'!$N$4</f>
        <v>0</v>
      </c>
      <c r="O99" s="47">
        <f>'13.5'!$O$4</f>
        <v>612000</v>
      </c>
      <c r="P99" s="47">
        <f>'13.5'!$P$4</f>
        <v>0</v>
      </c>
      <c r="Q99" s="200">
        <f t="shared" si="61"/>
        <v>704566.40399999998</v>
      </c>
      <c r="S99" s="208">
        <f t="shared" si="62"/>
        <v>0</v>
      </c>
    </row>
    <row r="100" spans="2:19" ht="15" customHeight="1">
      <c r="B100" s="90" t="s">
        <v>200</v>
      </c>
      <c r="C100" s="142" t="s">
        <v>192</v>
      </c>
      <c r="D100" s="91"/>
      <c r="E100" s="91"/>
      <c r="F100" s="92" t="s">
        <v>76</v>
      </c>
      <c r="G100" s="129">
        <f>'03.- Cubicaciones'!C89</f>
        <v>5</v>
      </c>
      <c r="H100" s="94">
        <f>'13.6'!$G$4</f>
        <v>2698.5059999999999</v>
      </c>
      <c r="I100" s="95">
        <f t="shared" si="58"/>
        <v>13492.529999999999</v>
      </c>
      <c r="M100" s="192">
        <f>'13.6'!$M$4</f>
        <v>1686.9749999999999</v>
      </c>
      <c r="N100" s="47">
        <f>'13.6'!$N$4</f>
        <v>0</v>
      </c>
      <c r="O100" s="47">
        <f>'13.6'!$O$4</f>
        <v>11805.555</v>
      </c>
      <c r="P100" s="47">
        <f>'13.6'!$P$4</f>
        <v>0</v>
      </c>
      <c r="Q100" s="200">
        <f t="shared" si="61"/>
        <v>13492.53</v>
      </c>
      <c r="S100" s="208">
        <f t="shared" si="62"/>
        <v>0</v>
      </c>
    </row>
    <row r="101" spans="2:19" ht="15" customHeight="1">
      <c r="B101" s="90" t="s">
        <v>201</v>
      </c>
      <c r="C101" s="142" t="s">
        <v>193</v>
      </c>
      <c r="D101" s="91"/>
      <c r="E101" s="91"/>
      <c r="F101" s="92" t="s">
        <v>18</v>
      </c>
      <c r="G101" s="129">
        <f>'03.- Cubicaciones'!C90</f>
        <v>29</v>
      </c>
      <c r="H101" s="94">
        <f>'13.7'!$G$4</f>
        <v>1623.5329999999999</v>
      </c>
      <c r="I101" s="95">
        <f t="shared" si="58"/>
        <v>47082.456999999995</v>
      </c>
      <c r="M101" s="192">
        <f>'13.7'!$M$4</f>
        <v>38280</v>
      </c>
      <c r="N101" s="47">
        <f>'13.7'!$N$4</f>
        <v>7335.3760000000002</v>
      </c>
      <c r="O101" s="47">
        <f>'13.7'!$O$4</f>
        <v>0</v>
      </c>
      <c r="P101" s="47">
        <f>'13.7'!$P$4</f>
        <v>1467.0809999999999</v>
      </c>
      <c r="Q101" s="200">
        <f t="shared" si="59"/>
        <v>47082.457000000002</v>
      </c>
      <c r="S101" s="208">
        <f t="shared" si="60"/>
        <v>0</v>
      </c>
    </row>
    <row r="102" spans="2:19" ht="15" customHeight="1">
      <c r="B102" s="90" t="s">
        <v>202</v>
      </c>
      <c r="C102" s="142" t="s">
        <v>194</v>
      </c>
      <c r="D102" s="91"/>
      <c r="E102" s="91"/>
      <c r="F102" s="92" t="s">
        <v>65</v>
      </c>
      <c r="G102" s="129">
        <f>'03.- Cubicaciones'!C91</f>
        <v>6</v>
      </c>
      <c r="H102" s="94">
        <f>'13.8'!$G$4</f>
        <v>20083.493999999999</v>
      </c>
      <c r="I102" s="95">
        <f t="shared" si="58"/>
        <v>120500.96399999999</v>
      </c>
      <c r="M102" s="192">
        <f>'13.8'!$M$4</f>
        <v>18500.964</v>
      </c>
      <c r="N102" s="47">
        <f>'13.8'!$N$4</f>
        <v>0</v>
      </c>
      <c r="O102" s="47">
        <f>'13.8'!$O$4</f>
        <v>102000</v>
      </c>
      <c r="P102" s="47">
        <f>'13.8'!$P$4</f>
        <v>0</v>
      </c>
      <c r="Q102" s="200">
        <f t="shared" si="59"/>
        <v>120500.96400000001</v>
      </c>
      <c r="S102" s="208">
        <f t="shared" si="60"/>
        <v>0</v>
      </c>
    </row>
    <row r="103" spans="2:19" ht="15" customHeight="1">
      <c r="B103" s="127">
        <v>14</v>
      </c>
      <c r="C103" s="128" t="s">
        <v>575</v>
      </c>
      <c r="D103" s="91"/>
      <c r="E103" s="91"/>
      <c r="F103" s="92"/>
      <c r="G103" s="129"/>
      <c r="H103" s="94"/>
      <c r="I103" s="95"/>
      <c r="M103" s="192"/>
      <c r="N103" s="47"/>
      <c r="O103" s="47"/>
      <c r="P103" s="47"/>
      <c r="Q103" s="200"/>
      <c r="S103" s="208"/>
    </row>
    <row r="104" spans="2:19" ht="15" customHeight="1">
      <c r="B104" s="90" t="s">
        <v>205</v>
      </c>
      <c r="C104" s="142" t="s">
        <v>203</v>
      </c>
      <c r="D104" s="91"/>
      <c r="E104" s="91"/>
      <c r="F104" s="92" t="s">
        <v>67</v>
      </c>
      <c r="G104" s="129">
        <f>'03.- Cubicaciones'!C93</f>
        <v>2.94</v>
      </c>
      <c r="H104" s="94">
        <f>'14.1'!$G$4</f>
        <v>137616.83400000003</v>
      </c>
      <c r="I104" s="95">
        <f>IF(G104="","",G104*H104)</f>
        <v>404593.49196000007</v>
      </c>
      <c r="M104" s="192">
        <f>'14.1'!$M$4</f>
        <v>354018.95927999995</v>
      </c>
      <c r="N104" s="47">
        <f>'14.1'!$N$4</f>
        <v>28262.111220000003</v>
      </c>
      <c r="O104" s="47">
        <f>'14.1'!$O$4</f>
        <v>0</v>
      </c>
      <c r="P104" s="47">
        <f>'14.1'!$P$4</f>
        <v>22312.421460000001</v>
      </c>
      <c r="Q104" s="200">
        <f t="shared" ref="Q104:Q110" si="63">SUM(M104:P104)</f>
        <v>404593.49195999996</v>
      </c>
      <c r="S104" s="208">
        <f t="shared" ref="S104:S110" si="64">I104-Q104</f>
        <v>0</v>
      </c>
    </row>
    <row r="105" spans="2:19" ht="15" customHeight="1">
      <c r="B105" s="90" t="s">
        <v>206</v>
      </c>
      <c r="C105" s="142" t="s">
        <v>122</v>
      </c>
      <c r="D105" s="91"/>
      <c r="E105" s="91"/>
      <c r="F105" s="92" t="s">
        <v>67</v>
      </c>
      <c r="G105" s="129">
        <f>'03.- Cubicaciones'!C94</f>
        <v>0.25</v>
      </c>
      <c r="H105" s="94">
        <f>'14.2'!$G$4</f>
        <v>120719.806</v>
      </c>
      <c r="I105" s="95">
        <f>IF(G105="","",G105*H105)</f>
        <v>30179.951499999999</v>
      </c>
      <c r="M105" s="192">
        <f>'14.2'!$M$4</f>
        <v>27296.0625</v>
      </c>
      <c r="N105" s="47">
        <f>'14.2'!$N$4</f>
        <v>2403.2407499999999</v>
      </c>
      <c r="O105" s="47">
        <f>'14.2'!$O$4</f>
        <v>0</v>
      </c>
      <c r="P105" s="47">
        <f>'14.2'!$P$4</f>
        <v>480.64825000000002</v>
      </c>
      <c r="Q105" s="200">
        <f t="shared" si="63"/>
        <v>30179.951499999999</v>
      </c>
      <c r="S105" s="208">
        <f t="shared" si="64"/>
        <v>0</v>
      </c>
    </row>
    <row r="106" spans="2:19" ht="15" customHeight="1">
      <c r="B106" s="90" t="s">
        <v>207</v>
      </c>
      <c r="C106" s="142" t="s">
        <v>123</v>
      </c>
      <c r="D106" s="91"/>
      <c r="E106" s="91"/>
      <c r="F106" s="92" t="s">
        <v>67</v>
      </c>
      <c r="G106" s="129">
        <f>'03.- Cubicaciones'!C95</f>
        <v>7.865000000000002</v>
      </c>
      <c r="H106" s="94">
        <f>'14.3'!$G$4</f>
        <v>82558.192999999999</v>
      </c>
      <c r="I106" s="95">
        <f>IF(G106="","",G106*H106)</f>
        <v>649320.18794500013</v>
      </c>
      <c r="M106" s="192">
        <f>'14.3'!$M$4</f>
        <v>204490.00000000006</v>
      </c>
      <c r="N106" s="47">
        <f>'14.3'!$N$4</f>
        <v>11340.889560000003</v>
      </c>
      <c r="O106" s="47">
        <f>'14.3'!$O$4</f>
        <v>0</v>
      </c>
      <c r="P106" s="47">
        <f>'14.3'!$P$4</f>
        <v>433489.29838500009</v>
      </c>
      <c r="Q106" s="200">
        <f t="shared" si="63"/>
        <v>649320.18794500013</v>
      </c>
      <c r="S106" s="208">
        <f t="shared" si="64"/>
        <v>0</v>
      </c>
    </row>
    <row r="107" spans="2:19" ht="15" customHeight="1">
      <c r="B107" s="90" t="s">
        <v>208</v>
      </c>
      <c r="C107" s="142" t="s">
        <v>124</v>
      </c>
      <c r="D107" s="91"/>
      <c r="E107" s="91"/>
      <c r="F107" s="92" t="s">
        <v>67</v>
      </c>
      <c r="G107" s="129">
        <f>'03.- Cubicaciones'!C96</f>
        <v>12.705000000000004</v>
      </c>
      <c r="H107" s="94">
        <f>'14.4'!$G$4</f>
        <v>25500</v>
      </c>
      <c r="I107" s="95">
        <f t="shared" ref="I107:I110" si="65">IF(G107="","",G107*H107)</f>
        <v>323977.50000000012</v>
      </c>
      <c r="M107" s="192">
        <f>'14.4'!$M$4</f>
        <v>0</v>
      </c>
      <c r="N107" s="47">
        <f>'14.4'!$N$4</f>
        <v>0</v>
      </c>
      <c r="O107" s="47">
        <f>'14.4'!$O$4</f>
        <v>0</v>
      </c>
      <c r="P107" s="47">
        <f>'14.4'!$P$4</f>
        <v>323977.50000000012</v>
      </c>
      <c r="Q107" s="200">
        <f t="shared" si="63"/>
        <v>323977.50000000012</v>
      </c>
      <c r="S107" s="208">
        <f t="shared" si="64"/>
        <v>0</v>
      </c>
    </row>
    <row r="108" spans="2:19" ht="15" customHeight="1">
      <c r="B108" s="90" t="s">
        <v>209</v>
      </c>
      <c r="C108" s="142" t="s">
        <v>125</v>
      </c>
      <c r="D108" s="91"/>
      <c r="E108" s="91"/>
      <c r="F108" s="92" t="s">
        <v>18</v>
      </c>
      <c r="G108" s="129">
        <f>'03.- Cubicaciones'!C97</f>
        <v>17</v>
      </c>
      <c r="H108" s="94">
        <f>'14.5'!$G$4</f>
        <v>16475.795999999998</v>
      </c>
      <c r="I108" s="95">
        <f t="shared" si="65"/>
        <v>280088.53199999995</v>
      </c>
      <c r="M108" s="192">
        <f>'14.5'!$M$4</f>
        <v>201208.53200000001</v>
      </c>
      <c r="N108" s="47">
        <f>'14.5'!$N$4</f>
        <v>65733.339000000007</v>
      </c>
      <c r="O108" s="47">
        <f>'14.5'!$O$4</f>
        <v>0</v>
      </c>
      <c r="P108" s="47">
        <f>'14.5'!$P$4</f>
        <v>13146.661</v>
      </c>
      <c r="Q108" s="200">
        <f t="shared" si="63"/>
        <v>280088.53200000006</v>
      </c>
      <c r="S108" s="208">
        <f t="shared" si="64"/>
        <v>0</v>
      </c>
    </row>
    <row r="109" spans="2:19" ht="15" customHeight="1">
      <c r="B109" s="90" t="s">
        <v>210</v>
      </c>
      <c r="C109" s="142" t="s">
        <v>161</v>
      </c>
      <c r="D109" s="91"/>
      <c r="E109" s="91"/>
      <c r="F109" s="92" t="s">
        <v>75</v>
      </c>
      <c r="G109" s="129">
        <f>'03.- Cubicaciones'!C98</f>
        <v>150</v>
      </c>
      <c r="H109" s="94">
        <f>'14.6'!$G$4</f>
        <v>1644.3330000000001</v>
      </c>
      <c r="I109" s="95">
        <f t="shared" si="65"/>
        <v>246649.95</v>
      </c>
      <c r="M109" s="192">
        <f>'14.6'!$M$4</f>
        <v>156649.95000000001</v>
      </c>
      <c r="N109" s="47">
        <f>'14.6'!$N$4</f>
        <v>0</v>
      </c>
      <c r="O109" s="47">
        <f>'14.6'!$O$4</f>
        <v>90000</v>
      </c>
      <c r="P109" s="47">
        <f>'14.6'!$P$4</f>
        <v>0</v>
      </c>
      <c r="Q109" s="200">
        <f t="shared" si="63"/>
        <v>246649.95</v>
      </c>
      <c r="S109" s="208">
        <f t="shared" si="64"/>
        <v>0</v>
      </c>
    </row>
    <row r="110" spans="2:19" ht="15" customHeight="1">
      <c r="B110" s="90" t="s">
        <v>211</v>
      </c>
      <c r="C110" s="142" t="s">
        <v>126</v>
      </c>
      <c r="D110" s="91"/>
      <c r="E110" s="91"/>
      <c r="F110" s="92" t="s">
        <v>76</v>
      </c>
      <c r="G110" s="129">
        <f>'03.- Cubicaciones'!C99</f>
        <v>10</v>
      </c>
      <c r="H110" s="94">
        <f>'14.7'!$G$4</f>
        <v>11342.214</v>
      </c>
      <c r="I110" s="95">
        <f t="shared" si="65"/>
        <v>113422.14</v>
      </c>
      <c r="M110" s="192">
        <f>'14.7'!$M$4</f>
        <v>98922.14</v>
      </c>
      <c r="N110" s="47">
        <f>'14.7'!$N$4</f>
        <v>12083.330000000002</v>
      </c>
      <c r="O110" s="47">
        <f>'14.7'!$O$4</f>
        <v>0</v>
      </c>
      <c r="P110" s="47">
        <f>'14.7'!$P$4</f>
        <v>2416.67</v>
      </c>
      <c r="Q110" s="200">
        <f t="shared" si="63"/>
        <v>113422.14</v>
      </c>
      <c r="S110" s="208">
        <f t="shared" si="64"/>
        <v>0</v>
      </c>
    </row>
    <row r="111" spans="2:19" ht="15" customHeight="1">
      <c r="B111" s="90" t="s">
        <v>212</v>
      </c>
      <c r="C111" s="142" t="s">
        <v>204</v>
      </c>
      <c r="D111" s="91"/>
      <c r="E111" s="91"/>
      <c r="F111" s="92" t="s">
        <v>76</v>
      </c>
      <c r="G111" s="129">
        <f>'03.- Cubicaciones'!C100</f>
        <v>10</v>
      </c>
      <c r="H111" s="94">
        <f>'14.8'!$G$4</f>
        <v>26751.252999999997</v>
      </c>
      <c r="I111" s="95">
        <f>IF(G111="","",G111*H111)</f>
        <v>267512.52999999997</v>
      </c>
      <c r="M111" s="192">
        <f>'14.8'!$M$4</f>
        <v>121667.53</v>
      </c>
      <c r="N111" s="47">
        <f>'14.8'!$N$4</f>
        <v>0</v>
      </c>
      <c r="O111" s="47">
        <f>'14.8'!$O$4</f>
        <v>145845</v>
      </c>
      <c r="P111" s="47">
        <f>'14.8'!$P$4</f>
        <v>0</v>
      </c>
      <c r="Q111" s="200">
        <f t="shared" ref="Q111" si="66">SUM(M111:P111)</f>
        <v>267512.53000000003</v>
      </c>
      <c r="S111" s="208">
        <f t="shared" ref="S111" si="67">I111-Q111</f>
        <v>0</v>
      </c>
    </row>
    <row r="112" spans="2:19" ht="15" customHeight="1">
      <c r="B112" s="90"/>
      <c r="C112" s="142"/>
      <c r="D112" s="91"/>
      <c r="E112" s="91"/>
      <c r="F112" s="92"/>
      <c r="G112" s="129"/>
      <c r="H112" s="94"/>
      <c r="I112" s="95"/>
      <c r="M112" s="192"/>
      <c r="N112" s="47"/>
      <c r="O112" s="47"/>
      <c r="P112" s="47"/>
      <c r="Q112" s="200"/>
      <c r="S112" s="208"/>
    </row>
    <row r="113" spans="2:19" ht="15" customHeight="1">
      <c r="B113" s="84"/>
      <c r="C113" s="141" t="s">
        <v>213</v>
      </c>
      <c r="D113" s="85"/>
      <c r="E113" s="85"/>
      <c r="F113" s="86"/>
      <c r="G113" s="130"/>
      <c r="H113" s="88"/>
      <c r="I113" s="89">
        <f>SUM(I115:I126)</f>
        <v>12335958.573099999</v>
      </c>
      <c r="M113" s="192"/>
      <c r="N113" s="47"/>
      <c r="O113" s="47"/>
      <c r="P113" s="47"/>
      <c r="Q113" s="201">
        <f>SUM(Q115:Q126)</f>
        <v>12335958.573099999</v>
      </c>
      <c r="S113" s="208"/>
    </row>
    <row r="114" spans="2:19" ht="15" customHeight="1">
      <c r="B114" s="127">
        <v>15</v>
      </c>
      <c r="C114" s="128" t="s">
        <v>214</v>
      </c>
      <c r="D114" s="91"/>
      <c r="E114" s="91"/>
      <c r="F114" s="92"/>
      <c r="G114" s="129"/>
      <c r="H114" s="94"/>
      <c r="I114" s="95"/>
      <c r="J114" s="16"/>
      <c r="K114" s="16"/>
      <c r="M114" s="192"/>
      <c r="N114" s="47"/>
      <c r="O114" s="47"/>
      <c r="P114" s="47"/>
      <c r="Q114" s="200"/>
      <c r="S114" s="208"/>
    </row>
    <row r="115" spans="2:19" ht="15" customHeight="1">
      <c r="B115" s="90" t="s">
        <v>226</v>
      </c>
      <c r="C115" s="142" t="s">
        <v>215</v>
      </c>
      <c r="D115" s="91"/>
      <c r="E115" s="91"/>
      <c r="F115" s="92" t="s">
        <v>75</v>
      </c>
      <c r="G115" s="129">
        <f>'03.- Cubicaciones'!C104</f>
        <v>845.25</v>
      </c>
      <c r="H115" s="94">
        <f>'15.1'!$G$4</f>
        <v>3647.7939999999999</v>
      </c>
      <c r="I115" s="95">
        <f t="shared" ref="I115" si="68">IF(G115="","",G115*H115)</f>
        <v>3083297.8785000001</v>
      </c>
      <c r="J115" s="16"/>
      <c r="K115" s="16"/>
      <c r="M115" s="192">
        <f>'15.1'!$M$4</f>
        <v>1815422.8785000001</v>
      </c>
      <c r="N115" s="47">
        <f>'15.1'!$N$4</f>
        <v>0</v>
      </c>
      <c r="O115" s="47">
        <f>'15.1'!$O$4</f>
        <v>1267875</v>
      </c>
      <c r="P115" s="47">
        <f>'15.1'!$P$4</f>
        <v>0</v>
      </c>
      <c r="Q115" s="200">
        <f t="shared" ref="Q115:Q159" si="69">SUM(M115:P115)</f>
        <v>3083297.8785000001</v>
      </c>
      <c r="S115" s="208">
        <f t="shared" ref="S115:S159" si="70">I115-Q115</f>
        <v>0</v>
      </c>
    </row>
    <row r="116" spans="2:19" ht="15" customHeight="1">
      <c r="B116" s="127">
        <v>16</v>
      </c>
      <c r="C116" s="128" t="s">
        <v>216</v>
      </c>
      <c r="D116" s="91"/>
      <c r="E116" s="91"/>
      <c r="F116" s="92"/>
      <c r="G116" s="129"/>
      <c r="H116" s="94"/>
      <c r="I116" s="95"/>
      <c r="J116" s="16"/>
      <c r="K116" s="16"/>
      <c r="M116" s="192"/>
      <c r="N116" s="47"/>
      <c r="O116" s="47"/>
      <c r="P116" s="47"/>
      <c r="Q116" s="200"/>
      <c r="S116" s="208"/>
    </row>
    <row r="117" spans="2:19" ht="15" customHeight="1">
      <c r="B117" s="90" t="s">
        <v>227</v>
      </c>
      <c r="C117" s="142" t="s">
        <v>217</v>
      </c>
      <c r="D117" s="91"/>
      <c r="E117" s="91"/>
      <c r="F117" s="92" t="s">
        <v>76</v>
      </c>
      <c r="G117" s="129">
        <f>'03.- Cubicaciones'!C106</f>
        <v>1</v>
      </c>
      <c r="H117" s="94">
        <f>'16.1'!$G$4</f>
        <v>3693306.6669999999</v>
      </c>
      <c r="I117" s="95">
        <f t="shared" ref="I117" si="71">IF(G117="","",G117*H117)</f>
        <v>3693306.6669999999</v>
      </c>
      <c r="J117" s="16"/>
      <c r="K117" s="16"/>
      <c r="M117" s="192">
        <f>'16.1'!$M$4</f>
        <v>3650000</v>
      </c>
      <c r="N117" s="47">
        <f>'16.1'!$N$4</f>
        <v>36088.888999999996</v>
      </c>
      <c r="O117" s="47">
        <f>'16.1'!$O$4</f>
        <v>0</v>
      </c>
      <c r="P117" s="47">
        <f>'16.1'!$P$4</f>
        <v>7217.7780000000002</v>
      </c>
      <c r="Q117" s="200">
        <f t="shared" si="69"/>
        <v>3693306.6669999999</v>
      </c>
      <c r="S117" s="208">
        <f t="shared" si="70"/>
        <v>0</v>
      </c>
    </row>
    <row r="118" spans="2:19" ht="15" customHeight="1">
      <c r="B118" s="127">
        <v>17</v>
      </c>
      <c r="C118" s="128" t="s">
        <v>218</v>
      </c>
      <c r="D118" s="91"/>
      <c r="E118" s="91"/>
      <c r="F118" s="92"/>
      <c r="G118" s="129"/>
      <c r="H118" s="94"/>
      <c r="I118" s="95"/>
      <c r="J118" s="16"/>
      <c r="K118" s="16"/>
      <c r="M118" s="192"/>
      <c r="N118" s="47"/>
      <c r="O118" s="47"/>
      <c r="P118" s="47"/>
      <c r="Q118" s="200"/>
      <c r="S118" s="208"/>
    </row>
    <row r="119" spans="2:19" ht="15" customHeight="1">
      <c r="B119" s="90" t="s">
        <v>228</v>
      </c>
      <c r="C119" s="142" t="s">
        <v>219</v>
      </c>
      <c r="D119" s="91"/>
      <c r="E119" s="91"/>
      <c r="F119" s="92" t="s">
        <v>75</v>
      </c>
      <c r="G119" s="129">
        <f>'03.- Cubicaciones'!C108</f>
        <v>935</v>
      </c>
      <c r="H119" s="94">
        <f>'17.1'!$G$4</f>
        <v>3647.7939999999999</v>
      </c>
      <c r="I119" s="95">
        <f t="shared" ref="I119" si="72">IF(G119="","",G119*H119)</f>
        <v>3410687.3899999997</v>
      </c>
      <c r="J119" s="16"/>
      <c r="K119" s="16"/>
      <c r="M119" s="192">
        <f>'17.1'!$M$4</f>
        <v>2008187.3900000001</v>
      </c>
      <c r="N119" s="47">
        <f>'17.1'!$N$4</f>
        <v>0</v>
      </c>
      <c r="O119" s="47">
        <f>'17.1'!$O$4</f>
        <v>1402500</v>
      </c>
      <c r="P119" s="47">
        <f>'17.1'!$P$4</f>
        <v>0</v>
      </c>
      <c r="Q119" s="200">
        <f t="shared" ref="Q119" si="73">SUM(M119:P119)</f>
        <v>3410687.39</v>
      </c>
      <c r="S119" s="208">
        <f t="shared" ref="S119" si="74">I119-Q119</f>
        <v>0</v>
      </c>
    </row>
    <row r="120" spans="2:19" ht="15" customHeight="1">
      <c r="B120" s="90" t="s">
        <v>229</v>
      </c>
      <c r="C120" s="142" t="s">
        <v>220</v>
      </c>
      <c r="D120" s="91"/>
      <c r="E120" s="91"/>
      <c r="F120" s="92" t="s">
        <v>75</v>
      </c>
      <c r="G120" s="129">
        <f>'03.- Cubicaciones'!C109</f>
        <v>116</v>
      </c>
      <c r="H120" s="94">
        <f>'17.2'!$G$4</f>
        <v>3647.7939999999999</v>
      </c>
      <c r="I120" s="95">
        <f t="shared" ref="I120:I122" si="75">IF(G120="","",G120*H120)</f>
        <v>423144.10399999999</v>
      </c>
      <c r="J120" s="16"/>
      <c r="K120" s="16"/>
      <c r="M120" s="192">
        <f>'17.2'!$M$4</f>
        <v>249144.10400000002</v>
      </c>
      <c r="N120" s="47">
        <f>'17.2'!$N$4</f>
        <v>0</v>
      </c>
      <c r="O120" s="47">
        <f>'17.2'!$O$4</f>
        <v>174000</v>
      </c>
      <c r="P120" s="47">
        <f>'17.2'!$P$4</f>
        <v>0</v>
      </c>
      <c r="Q120" s="200">
        <f t="shared" ref="Q120:Q122" si="76">SUM(M120:P120)</f>
        <v>423144.10400000005</v>
      </c>
      <c r="S120" s="208">
        <f t="shared" ref="S120:S122" si="77">I120-Q120</f>
        <v>0</v>
      </c>
    </row>
    <row r="121" spans="2:19" ht="15" customHeight="1">
      <c r="B121" s="90" t="s">
        <v>230</v>
      </c>
      <c r="C121" s="142" t="s">
        <v>221</v>
      </c>
      <c r="D121" s="91"/>
      <c r="E121" s="91"/>
      <c r="F121" s="92" t="s">
        <v>75</v>
      </c>
      <c r="G121" s="129">
        <f>'03.- Cubicaciones'!C110</f>
        <v>292</v>
      </c>
      <c r="H121" s="94">
        <f>'17.3'!$G$4</f>
        <v>3647.7939999999999</v>
      </c>
      <c r="I121" s="95">
        <f t="shared" si="75"/>
        <v>1065155.848</v>
      </c>
      <c r="J121" s="16"/>
      <c r="K121" s="16"/>
      <c r="M121" s="192">
        <f>'17.3'!$M$4</f>
        <v>627155.848</v>
      </c>
      <c r="N121" s="47">
        <f>'17.3'!$N$4</f>
        <v>0</v>
      </c>
      <c r="O121" s="47">
        <f>'17.3'!$O$4</f>
        <v>438000</v>
      </c>
      <c r="P121" s="47">
        <f>'17.3'!$P$4</f>
        <v>0</v>
      </c>
      <c r="Q121" s="200">
        <f t="shared" si="76"/>
        <v>1065155.848</v>
      </c>
      <c r="S121" s="208">
        <f t="shared" si="77"/>
        <v>0</v>
      </c>
    </row>
    <row r="122" spans="2:19" ht="15" customHeight="1">
      <c r="B122" s="90" t="s">
        <v>231</v>
      </c>
      <c r="C122" s="142" t="s">
        <v>222</v>
      </c>
      <c r="D122" s="91"/>
      <c r="E122" s="91"/>
      <c r="F122" s="92" t="s">
        <v>76</v>
      </c>
      <c r="G122" s="129">
        <f>'03.- Cubicaciones'!C111</f>
        <v>20</v>
      </c>
      <c r="H122" s="94">
        <f>'17.4'!$G$4</f>
        <v>2171.4580000000001</v>
      </c>
      <c r="I122" s="95">
        <f t="shared" si="75"/>
        <v>43429.16</v>
      </c>
      <c r="J122" s="16"/>
      <c r="K122" s="16"/>
      <c r="M122" s="192">
        <f>'17.4'!$M$4</f>
        <v>14429.16</v>
      </c>
      <c r="N122" s="47">
        <f>'17.4'!$N$4</f>
        <v>24166.660000000003</v>
      </c>
      <c r="O122" s="47">
        <f>'17.4'!$O$4</f>
        <v>0</v>
      </c>
      <c r="P122" s="47">
        <f>'17.4'!$P$4</f>
        <v>4833.34</v>
      </c>
      <c r="Q122" s="200">
        <f t="shared" si="76"/>
        <v>43429.16</v>
      </c>
      <c r="S122" s="208">
        <f t="shared" si="77"/>
        <v>0</v>
      </c>
    </row>
    <row r="123" spans="2:19" ht="15" customHeight="1">
      <c r="B123" s="127">
        <v>18</v>
      </c>
      <c r="C123" s="128" t="s">
        <v>223</v>
      </c>
      <c r="D123" s="91"/>
      <c r="E123" s="91"/>
      <c r="F123" s="92"/>
      <c r="G123" s="129"/>
      <c r="H123" s="94"/>
      <c r="I123" s="95"/>
      <c r="J123" s="16"/>
      <c r="K123" s="16"/>
      <c r="M123" s="192"/>
      <c r="N123" s="47"/>
      <c r="O123" s="47"/>
      <c r="P123" s="47"/>
      <c r="Q123" s="200"/>
      <c r="S123" s="208"/>
    </row>
    <row r="124" spans="2:19" ht="15" customHeight="1">
      <c r="B124" s="90" t="s">
        <v>232</v>
      </c>
      <c r="C124" s="142" t="s">
        <v>224</v>
      </c>
      <c r="D124" s="91"/>
      <c r="E124" s="91"/>
      <c r="F124" s="92" t="s">
        <v>75</v>
      </c>
      <c r="G124" s="129">
        <f>'03.- Cubicaciones'!C113</f>
        <v>92.399999999999991</v>
      </c>
      <c r="H124" s="94">
        <f>'18.1'!$G$4</f>
        <v>3647.7939999999999</v>
      </c>
      <c r="I124" s="95">
        <f t="shared" ref="I124:I125" si="78">IF(G124="","",G124*H124)</f>
        <v>337056.16559999995</v>
      </c>
      <c r="J124" s="16"/>
      <c r="K124" s="16"/>
      <c r="M124" s="192">
        <f>'18.1'!$M$4</f>
        <v>198456.16559999998</v>
      </c>
      <c r="N124" s="47">
        <f>'18.1'!$N$4</f>
        <v>0</v>
      </c>
      <c r="O124" s="47">
        <f>'18.1'!$O$4</f>
        <v>138600</v>
      </c>
      <c r="P124" s="47">
        <f>'18.1'!$P$4</f>
        <v>0</v>
      </c>
      <c r="Q124" s="200">
        <f t="shared" ref="Q124:Q125" si="79">SUM(M124:P124)</f>
        <v>337056.16559999995</v>
      </c>
      <c r="S124" s="208">
        <f t="shared" ref="S124:S125" si="80">I124-Q124</f>
        <v>0</v>
      </c>
    </row>
    <row r="125" spans="2:19" ht="15" customHeight="1">
      <c r="B125" s="90" t="s">
        <v>233</v>
      </c>
      <c r="C125" s="142" t="s">
        <v>225</v>
      </c>
      <c r="D125" s="91"/>
      <c r="E125" s="91"/>
      <c r="F125" s="92" t="s">
        <v>76</v>
      </c>
      <c r="G125" s="129">
        <f>'03.- Cubicaciones'!C114</f>
        <v>80</v>
      </c>
      <c r="H125" s="94">
        <f>'18.2'!$G$4</f>
        <v>3498.5170000000003</v>
      </c>
      <c r="I125" s="95">
        <f t="shared" si="78"/>
        <v>279881.36000000004</v>
      </c>
      <c r="J125" s="16"/>
      <c r="K125" s="16"/>
      <c r="M125" s="192">
        <f>'18.2'!$M$4</f>
        <v>163881.36000000002</v>
      </c>
      <c r="N125" s="47">
        <f>'18.2'!$N$4</f>
        <v>96666.640000000014</v>
      </c>
      <c r="O125" s="47">
        <f>'18.2'!$O$4</f>
        <v>0</v>
      </c>
      <c r="P125" s="47">
        <f>'18.2'!$P$4</f>
        <v>19333.36</v>
      </c>
      <c r="Q125" s="200">
        <f t="shared" si="79"/>
        <v>279881.36000000004</v>
      </c>
      <c r="S125" s="208">
        <f t="shared" si="80"/>
        <v>0</v>
      </c>
    </row>
    <row r="126" spans="2:19" ht="15" customHeight="1">
      <c r="B126" s="90"/>
      <c r="C126" s="142"/>
      <c r="D126" s="91"/>
      <c r="E126" s="91"/>
      <c r="F126" s="92"/>
      <c r="G126" s="129"/>
      <c r="H126" s="94"/>
      <c r="I126" s="95"/>
      <c r="J126" s="16"/>
      <c r="K126" s="16"/>
      <c r="M126" s="192"/>
      <c r="N126" s="47"/>
      <c r="O126" s="47"/>
      <c r="P126" s="47"/>
      <c r="Q126" s="200"/>
      <c r="S126" s="208"/>
    </row>
    <row r="127" spans="2:19" ht="15" customHeight="1">
      <c r="B127" s="84"/>
      <c r="C127" s="141" t="s">
        <v>234</v>
      </c>
      <c r="D127" s="85"/>
      <c r="E127" s="85"/>
      <c r="F127" s="86"/>
      <c r="G127" s="130"/>
      <c r="H127" s="88"/>
      <c r="I127" s="89">
        <f>SUM(I129:I168)</f>
        <v>174255895.29157734</v>
      </c>
      <c r="M127" s="192"/>
      <c r="N127" s="47"/>
      <c r="O127" s="47"/>
      <c r="P127" s="47"/>
      <c r="Q127" s="201">
        <f>SUM(Q129:Q168)</f>
        <v>174255895.29157734</v>
      </c>
      <c r="S127" s="208"/>
    </row>
    <row r="128" spans="2:19" ht="15" customHeight="1">
      <c r="B128" s="127">
        <v>19</v>
      </c>
      <c r="C128" s="128" t="s">
        <v>235</v>
      </c>
      <c r="D128" s="91"/>
      <c r="E128" s="91"/>
      <c r="F128" s="92"/>
      <c r="G128" s="129"/>
      <c r="H128" s="94"/>
      <c r="I128" s="95" t="str">
        <f t="shared" ref="I128" si="81">IF(G128="","",G128*H128)</f>
        <v/>
      </c>
      <c r="J128" s="16"/>
      <c r="K128" s="16"/>
      <c r="M128" s="192"/>
      <c r="N128" s="47"/>
      <c r="O128" s="47"/>
      <c r="P128" s="47"/>
      <c r="Q128" s="200"/>
      <c r="S128" s="208"/>
    </row>
    <row r="129" spans="2:19" ht="15" customHeight="1">
      <c r="B129" s="90" t="s">
        <v>243</v>
      </c>
      <c r="C129" s="142" t="s">
        <v>236</v>
      </c>
      <c r="D129" s="91"/>
      <c r="E129" s="91"/>
      <c r="F129" s="92" t="s">
        <v>67</v>
      </c>
      <c r="G129" s="129">
        <f>'03.- Cubicaciones'!C118</f>
        <v>26.554499999999997</v>
      </c>
      <c r="H129" s="94">
        <f>'19.1'!$G$4</f>
        <v>137616.83400000003</v>
      </c>
      <c r="I129" s="95">
        <f t="shared" ref="I129:I138" si="82">IF(G129="","",G129*H129)</f>
        <v>3654346.2184530003</v>
      </c>
      <c r="M129" s="192">
        <f>'19.1'!$M$4</f>
        <v>3197549.8143539992</v>
      </c>
      <c r="N129" s="47">
        <f>'19.1'!$N$4</f>
        <v>255267.4259835</v>
      </c>
      <c r="O129" s="47">
        <f>'19.1'!$O$4</f>
        <v>0</v>
      </c>
      <c r="P129" s="47">
        <f>'19.1'!$P$4</f>
        <v>201528.97811550001</v>
      </c>
      <c r="Q129" s="200">
        <f t="shared" si="69"/>
        <v>3654346.2184529994</v>
      </c>
      <c r="S129" s="208">
        <f t="shared" si="70"/>
        <v>0</v>
      </c>
    </row>
    <row r="130" spans="2:19" ht="15" customHeight="1">
      <c r="B130" s="90" t="s">
        <v>244</v>
      </c>
      <c r="C130" s="142" t="s">
        <v>237</v>
      </c>
      <c r="D130" s="91"/>
      <c r="E130" s="91"/>
      <c r="F130" s="92" t="s">
        <v>67</v>
      </c>
      <c r="G130" s="129">
        <f>'03.- Cubicaciones'!C119</f>
        <v>5.4749999999999996</v>
      </c>
      <c r="H130" s="94">
        <f>'19.2'!$G$4</f>
        <v>137616.83400000003</v>
      </c>
      <c r="I130" s="95">
        <f t="shared" ref="I130" si="83">IF(G130="","",G130*H130)</f>
        <v>753452.16615000018</v>
      </c>
      <c r="M130" s="192">
        <f>'19.2'!$M$4</f>
        <v>659270.00069999998</v>
      </c>
      <c r="N130" s="47">
        <f>'19.2'!$N$4</f>
        <v>52630.972425</v>
      </c>
      <c r="O130" s="47">
        <f>'19.2'!$O$4</f>
        <v>0</v>
      </c>
      <c r="P130" s="47">
        <f>'19.2'!$P$4</f>
        <v>41551.193025</v>
      </c>
      <c r="Q130" s="200">
        <f t="shared" si="69"/>
        <v>753452.16615000006</v>
      </c>
      <c r="S130" s="208">
        <f t="shared" si="70"/>
        <v>0</v>
      </c>
    </row>
    <row r="131" spans="2:19" ht="15" customHeight="1">
      <c r="B131" s="90" t="s">
        <v>245</v>
      </c>
      <c r="C131" s="142" t="s">
        <v>122</v>
      </c>
      <c r="D131" s="91"/>
      <c r="E131" s="91"/>
      <c r="F131" s="92" t="s">
        <v>67</v>
      </c>
      <c r="G131" s="129">
        <f>'03.- Cubicaciones'!C120</f>
        <v>2.0519999999999996</v>
      </c>
      <c r="H131" s="94">
        <f>'19.3'!$G$4</f>
        <v>120719.806</v>
      </c>
      <c r="I131" s="95">
        <f t="shared" ref="I131:I136" si="84">IF(G131="","",G131*H131)</f>
        <v>247717.04191199996</v>
      </c>
      <c r="M131" s="192">
        <f>'19.3'!$M$4</f>
        <v>224046.08099999995</v>
      </c>
      <c r="N131" s="47">
        <f>'19.3'!$N$4</f>
        <v>19725.800075999996</v>
      </c>
      <c r="O131" s="47">
        <f>'19.3'!$O$4</f>
        <v>0</v>
      </c>
      <c r="P131" s="47">
        <f>'19.3'!$P$4</f>
        <v>3945.1608359999996</v>
      </c>
      <c r="Q131" s="200">
        <f t="shared" ref="Q131:Q136" si="85">SUM(M131:P131)</f>
        <v>247717.04191199993</v>
      </c>
      <c r="S131" s="208">
        <f t="shared" ref="S131:S136" si="86">I131-Q131</f>
        <v>0</v>
      </c>
    </row>
    <row r="132" spans="2:19" ht="15" customHeight="1">
      <c r="B132" s="90" t="s">
        <v>246</v>
      </c>
      <c r="C132" s="142" t="s">
        <v>238</v>
      </c>
      <c r="D132" s="91"/>
      <c r="E132" s="91"/>
      <c r="F132" s="92" t="s">
        <v>67</v>
      </c>
      <c r="G132" s="129">
        <f>'03.- Cubicaciones'!C121</f>
        <v>68.903999999999996</v>
      </c>
      <c r="H132" s="94">
        <f>'19.4'!$G$4</f>
        <v>25500</v>
      </c>
      <c r="I132" s="95">
        <f>IF(G132="","",G132*H132)</f>
        <v>1757052</v>
      </c>
      <c r="M132" s="192">
        <f>'19.4'!$M$4</f>
        <v>0</v>
      </c>
      <c r="N132" s="47">
        <f>'19.4'!$N$4</f>
        <v>0</v>
      </c>
      <c r="O132" s="47">
        <f>'19.4'!$O$4</f>
        <v>0</v>
      </c>
      <c r="P132" s="47">
        <f>'19.4'!$P$4</f>
        <v>1757052</v>
      </c>
      <c r="Q132" s="200">
        <f>SUM(M132:P132)</f>
        <v>1757052</v>
      </c>
      <c r="S132" s="208">
        <f t="shared" si="86"/>
        <v>0</v>
      </c>
    </row>
    <row r="133" spans="2:19" ht="15" customHeight="1">
      <c r="B133" s="90" t="s">
        <v>247</v>
      </c>
      <c r="C133" s="142" t="s">
        <v>239</v>
      </c>
      <c r="D133" s="91"/>
      <c r="E133" s="91"/>
      <c r="F133" s="92" t="s">
        <v>18</v>
      </c>
      <c r="G133" s="129">
        <f>'03.- Cubicaciones'!C122</f>
        <v>93.72</v>
      </c>
      <c r="H133" s="94">
        <f>'19.5'!$G$4</f>
        <v>16475.795999999998</v>
      </c>
      <c r="I133" s="95">
        <f>IF(G133="","",G133*H133)</f>
        <v>1544111.6011199998</v>
      </c>
      <c r="M133" s="192">
        <f>'19.5'!$M$4</f>
        <v>1109250.8011200002</v>
      </c>
      <c r="N133" s="47">
        <f>'19.5'!$N$4</f>
        <v>362384.03123999998</v>
      </c>
      <c r="O133" s="47">
        <f>'19.5'!$O$4</f>
        <v>0</v>
      </c>
      <c r="P133" s="47">
        <f>'19.5'!$P$4</f>
        <v>72476.768759999992</v>
      </c>
      <c r="Q133" s="200">
        <f t="shared" si="85"/>
        <v>1544111.60112</v>
      </c>
      <c r="S133" s="208">
        <f t="shared" si="86"/>
        <v>0</v>
      </c>
    </row>
    <row r="134" spans="2:19" ht="15" customHeight="1">
      <c r="B134" s="90" t="s">
        <v>248</v>
      </c>
      <c r="C134" s="142" t="s">
        <v>240</v>
      </c>
      <c r="D134" s="91"/>
      <c r="E134" s="91"/>
      <c r="F134" s="92" t="s">
        <v>67</v>
      </c>
      <c r="G134" s="129">
        <f>'03.- Cubicaciones'!C123</f>
        <v>54.32</v>
      </c>
      <c r="H134" s="94">
        <f>'19.6'!$G$4</f>
        <v>40941.073000000004</v>
      </c>
      <c r="I134" s="95">
        <f t="shared" si="84"/>
        <v>2223919.0853600004</v>
      </c>
      <c r="M134" s="192">
        <f>'19.6'!$M$4</f>
        <v>1553552</v>
      </c>
      <c r="N134" s="47">
        <f>'19.6'!$N$4</f>
        <v>0</v>
      </c>
      <c r="O134" s="47">
        <f>'19.6'!$O$4</f>
        <v>0</v>
      </c>
      <c r="P134" s="47">
        <f>'19.6'!$P$4</f>
        <v>670367.08536000003</v>
      </c>
      <c r="Q134" s="200">
        <f t="shared" si="85"/>
        <v>2223919.0853599999</v>
      </c>
      <c r="S134" s="208">
        <f t="shared" si="86"/>
        <v>0</v>
      </c>
    </row>
    <row r="135" spans="2:19" ht="15" customHeight="1">
      <c r="B135" s="90" t="s">
        <v>249</v>
      </c>
      <c r="C135" s="142" t="s">
        <v>241</v>
      </c>
      <c r="D135" s="91"/>
      <c r="E135" s="91"/>
      <c r="F135" s="92" t="s">
        <v>75</v>
      </c>
      <c r="G135" s="129">
        <f>'03.- Cubicaciones'!C124</f>
        <v>1887.4760000000001</v>
      </c>
      <c r="H135" s="94">
        <f>'19.7'!$G$4</f>
        <v>1644.3330000000001</v>
      </c>
      <c r="I135" s="95">
        <f t="shared" si="84"/>
        <v>3103639.0735080005</v>
      </c>
      <c r="M135" s="192">
        <f>'19.7'!$M$4</f>
        <v>1971153.4735080001</v>
      </c>
      <c r="N135" s="47">
        <f>'19.7'!$N$4</f>
        <v>0</v>
      </c>
      <c r="O135" s="47">
        <f>'19.7'!$O$4</f>
        <v>1132485.6000000001</v>
      </c>
      <c r="P135" s="47">
        <f>'19.7'!$P$4</f>
        <v>0</v>
      </c>
      <c r="Q135" s="200">
        <f t="shared" si="85"/>
        <v>3103639.073508</v>
      </c>
      <c r="S135" s="208">
        <f t="shared" si="86"/>
        <v>0</v>
      </c>
    </row>
    <row r="136" spans="2:19" ht="15" customHeight="1">
      <c r="B136" s="90" t="s">
        <v>250</v>
      </c>
      <c r="C136" s="142" t="s">
        <v>242</v>
      </c>
      <c r="D136" s="91"/>
      <c r="E136" s="91"/>
      <c r="F136" s="92" t="s">
        <v>76</v>
      </c>
      <c r="G136" s="129">
        <f>'03.- Cubicaciones'!C125</f>
        <v>64</v>
      </c>
      <c r="H136" s="94">
        <f>'19.8'!$G$4</f>
        <v>11342.214</v>
      </c>
      <c r="I136" s="95">
        <f t="shared" si="84"/>
        <v>725901.696</v>
      </c>
      <c r="M136" s="192">
        <f>'19.8'!$M$4</f>
        <v>633101.696</v>
      </c>
      <c r="N136" s="47">
        <f>'19.8'!$N$4</f>
        <v>77333.312000000005</v>
      </c>
      <c r="O136" s="47">
        <f>'19.8'!$O$4</f>
        <v>0</v>
      </c>
      <c r="P136" s="47">
        <f>'19.8'!$P$4</f>
        <v>15466.688</v>
      </c>
      <c r="Q136" s="200">
        <f t="shared" si="85"/>
        <v>725901.696</v>
      </c>
      <c r="S136" s="208">
        <f t="shared" si="86"/>
        <v>0</v>
      </c>
    </row>
    <row r="137" spans="2:19" ht="15" customHeight="1">
      <c r="B137" s="127">
        <v>20</v>
      </c>
      <c r="C137" s="128" t="s">
        <v>251</v>
      </c>
      <c r="D137" s="91"/>
      <c r="E137" s="91"/>
      <c r="F137" s="92"/>
      <c r="G137" s="129"/>
      <c r="H137" s="94"/>
      <c r="I137" s="95"/>
      <c r="M137" s="192"/>
      <c r="N137" s="47"/>
      <c r="O137" s="47"/>
      <c r="P137" s="47"/>
      <c r="Q137" s="200"/>
      <c r="S137" s="208"/>
    </row>
    <row r="138" spans="2:19" ht="15" customHeight="1">
      <c r="B138" s="90" t="s">
        <v>256</v>
      </c>
      <c r="C138" s="142" t="s">
        <v>252</v>
      </c>
      <c r="D138" s="91"/>
      <c r="E138" s="91"/>
      <c r="F138" s="92" t="s">
        <v>67</v>
      </c>
      <c r="G138" s="129">
        <f>'03.- Cubicaciones'!C127</f>
        <v>48.824999999999996</v>
      </c>
      <c r="H138" s="94">
        <f>'20.1'!$G$4</f>
        <v>133729.40100000001</v>
      </c>
      <c r="I138" s="95">
        <f t="shared" si="82"/>
        <v>6529338.0038250005</v>
      </c>
      <c r="M138" s="192">
        <f>'20.1'!$M$4</f>
        <v>5689439.5146749998</v>
      </c>
      <c r="N138" s="47">
        <f>'20.1'!$N$4</f>
        <v>469352.91847500001</v>
      </c>
      <c r="O138" s="47">
        <f>'20.1'!$O$4</f>
        <v>0</v>
      </c>
      <c r="P138" s="47">
        <f>'20.1'!$P$4</f>
        <v>370545.57067499997</v>
      </c>
      <c r="Q138" s="200">
        <f t="shared" si="69"/>
        <v>6529338.0038249996</v>
      </c>
      <c r="S138" s="208">
        <f t="shared" si="70"/>
        <v>0</v>
      </c>
    </row>
    <row r="139" spans="2:19" ht="15" customHeight="1">
      <c r="B139" s="90" t="s">
        <v>257</v>
      </c>
      <c r="C139" s="142" t="s">
        <v>253</v>
      </c>
      <c r="D139" s="91"/>
      <c r="E139" s="91"/>
      <c r="F139" s="92" t="s">
        <v>67</v>
      </c>
      <c r="G139" s="129">
        <f>'03.- Cubicaciones'!C128</f>
        <v>32.550000000000004</v>
      </c>
      <c r="H139" s="94">
        <f>'20.2'!$G$4</f>
        <v>39886.583000000006</v>
      </c>
      <c r="I139" s="95">
        <f t="shared" ref="I139:I141" si="87">IF(G139="","",G139*H139)</f>
        <v>1298308.2766500004</v>
      </c>
      <c r="M139" s="192">
        <f>'20.2'!$M$4</f>
        <v>1184820.0000000002</v>
      </c>
      <c r="N139" s="47">
        <f>'20.2'!$N$4</f>
        <v>46935.277200000004</v>
      </c>
      <c r="O139" s="47">
        <f>'20.2'!$O$4</f>
        <v>0</v>
      </c>
      <c r="P139" s="47">
        <f>'20.2'!$P$4</f>
        <v>66552.999450000018</v>
      </c>
      <c r="Q139" s="200">
        <f t="shared" ref="Q139:Q140" si="88">SUM(M139:P139)</f>
        <v>1298308.2766500001</v>
      </c>
      <c r="S139" s="208">
        <f t="shared" ref="S139:S140" si="89">I139-Q139</f>
        <v>0</v>
      </c>
    </row>
    <row r="140" spans="2:19" ht="15" customHeight="1">
      <c r="B140" s="90" t="s">
        <v>258</v>
      </c>
      <c r="C140" s="142" t="s">
        <v>254</v>
      </c>
      <c r="D140" s="91"/>
      <c r="E140" s="91"/>
      <c r="F140" s="92" t="s">
        <v>18</v>
      </c>
      <c r="G140" s="129">
        <f>'03.- Cubicaciones'!C129</f>
        <v>325.5</v>
      </c>
      <c r="H140" s="94">
        <f>'20.3'!$G$4</f>
        <v>1623.5329999999999</v>
      </c>
      <c r="I140" s="95">
        <f t="shared" si="87"/>
        <v>528459.9915</v>
      </c>
      <c r="M140" s="192">
        <f>'20.3'!$M$4</f>
        <v>429660</v>
      </c>
      <c r="N140" s="47">
        <f>'20.3'!$N$4</f>
        <v>82333.271999999997</v>
      </c>
      <c r="O140" s="47">
        <f>'20.3'!$O$4</f>
        <v>0</v>
      </c>
      <c r="P140" s="47">
        <f>'20.3'!$P$4</f>
        <v>16466.719499999999</v>
      </c>
      <c r="Q140" s="200">
        <f t="shared" si="88"/>
        <v>528459.9915</v>
      </c>
      <c r="S140" s="208">
        <f t="shared" si="89"/>
        <v>0</v>
      </c>
    </row>
    <row r="141" spans="2:19" ht="15" customHeight="1">
      <c r="B141" s="90" t="s">
        <v>259</v>
      </c>
      <c r="C141" s="142" t="s">
        <v>255</v>
      </c>
      <c r="D141" s="91"/>
      <c r="E141" s="91"/>
      <c r="F141" s="92" t="s">
        <v>67</v>
      </c>
      <c r="G141" s="129">
        <f>'03.- Cubicaciones'!C130</f>
        <v>227.85</v>
      </c>
      <c r="H141" s="94">
        <f>'20.4'!$G$4</f>
        <v>31318.526000000002</v>
      </c>
      <c r="I141" s="95">
        <f t="shared" si="87"/>
        <v>7135926.1491</v>
      </c>
      <c r="M141" s="192">
        <f>'20.4'!$M$4</f>
        <v>5924100</v>
      </c>
      <c r="N141" s="47">
        <f>'20.4'!$N$4</f>
        <v>328546.94039999996</v>
      </c>
      <c r="O141" s="47">
        <f>'20.4'!$O$4</f>
        <v>0</v>
      </c>
      <c r="P141" s="47">
        <f>'20.4'!$P$4</f>
        <v>883279.20869999996</v>
      </c>
      <c r="Q141" s="200">
        <f t="shared" si="69"/>
        <v>7135926.1491</v>
      </c>
      <c r="S141" s="208">
        <f t="shared" si="70"/>
        <v>0</v>
      </c>
    </row>
    <row r="142" spans="2:19" ht="15" customHeight="1">
      <c r="B142" s="127">
        <v>21</v>
      </c>
      <c r="C142" s="128" t="s">
        <v>260</v>
      </c>
      <c r="D142" s="91"/>
      <c r="E142" s="91"/>
      <c r="F142" s="92"/>
      <c r="G142" s="129"/>
      <c r="H142" s="94"/>
      <c r="I142" s="95"/>
      <c r="M142" s="192"/>
      <c r="N142" s="47"/>
      <c r="O142" s="47"/>
      <c r="P142" s="47"/>
      <c r="Q142" s="200"/>
      <c r="S142" s="208"/>
    </row>
    <row r="143" spans="2:19" ht="15" customHeight="1">
      <c r="B143" s="90" t="s">
        <v>272</v>
      </c>
      <c r="C143" s="142" t="s">
        <v>261</v>
      </c>
      <c r="D143" s="91"/>
      <c r="E143" s="91"/>
      <c r="F143" s="92" t="s">
        <v>75</v>
      </c>
      <c r="G143" s="129">
        <f>'03.- Cubicaciones'!C132</f>
        <v>6755</v>
      </c>
      <c r="H143" s="94">
        <f>'21.1'!$G$4</f>
        <v>3647.7939999999999</v>
      </c>
      <c r="I143" s="95">
        <f t="shared" ref="I143:I146" si="90">IF(G143="","",G143*H143)</f>
        <v>24640848.469999999</v>
      </c>
      <c r="M143" s="192">
        <f>'21.1'!$M$4</f>
        <v>14508348.470000001</v>
      </c>
      <c r="N143" s="47">
        <f>'21.1'!$N$4</f>
        <v>0</v>
      </c>
      <c r="O143" s="47">
        <f>'21.1'!$O$4</f>
        <v>10132500</v>
      </c>
      <c r="P143" s="47">
        <f>'21.1'!$P$4</f>
        <v>0</v>
      </c>
      <c r="Q143" s="200">
        <f t="shared" si="69"/>
        <v>24640848.469999999</v>
      </c>
      <c r="S143" s="208">
        <f t="shared" si="70"/>
        <v>0</v>
      </c>
    </row>
    <row r="144" spans="2:19" ht="15" customHeight="1">
      <c r="B144" s="90" t="s">
        <v>273</v>
      </c>
      <c r="C144" s="142" t="s">
        <v>262</v>
      </c>
      <c r="D144" s="91"/>
      <c r="E144" s="91"/>
      <c r="F144" s="92" t="s">
        <v>75</v>
      </c>
      <c r="G144" s="129">
        <f>'03.- Cubicaciones'!C133</f>
        <v>2741.16</v>
      </c>
      <c r="H144" s="94">
        <f>'21.2'!$G$4</f>
        <v>3647.7939999999999</v>
      </c>
      <c r="I144" s="95">
        <f t="shared" si="90"/>
        <v>9999187.0010399986</v>
      </c>
      <c r="M144" s="192">
        <f>'21.2'!$M$4</f>
        <v>5887447.0010399995</v>
      </c>
      <c r="N144" s="47">
        <f>'21.2'!$N$4</f>
        <v>0</v>
      </c>
      <c r="O144" s="47">
        <f>'21.2'!$O$4</f>
        <v>4111740</v>
      </c>
      <c r="P144" s="47">
        <f>'21.2'!$P$4</f>
        <v>0</v>
      </c>
      <c r="Q144" s="200">
        <f t="shared" ref="Q144:Q151" si="91">SUM(M144:P144)</f>
        <v>9999187.0010400005</v>
      </c>
      <c r="S144" s="208">
        <f t="shared" ref="S144:S151" si="92">I144-Q144</f>
        <v>0</v>
      </c>
    </row>
    <row r="145" spans="2:19" ht="15" customHeight="1">
      <c r="B145" s="90" t="s">
        <v>274</v>
      </c>
      <c r="C145" s="142" t="s">
        <v>263</v>
      </c>
      <c r="D145" s="91"/>
      <c r="E145" s="91"/>
      <c r="F145" s="92" t="s">
        <v>75</v>
      </c>
      <c r="G145" s="129">
        <f>'03.- Cubicaciones'!C134</f>
        <v>925.35</v>
      </c>
      <c r="H145" s="94">
        <f>'21.3'!$G$4</f>
        <v>3647.7939999999999</v>
      </c>
      <c r="I145" s="95">
        <f t="shared" si="90"/>
        <v>3375486.1779</v>
      </c>
      <c r="M145" s="192">
        <f>'21.3'!$M$4</f>
        <v>1987461.1779000002</v>
      </c>
      <c r="N145" s="47">
        <f>'21.3'!$N$4</f>
        <v>0</v>
      </c>
      <c r="O145" s="47">
        <f>'21.3'!$O$4</f>
        <v>1388025</v>
      </c>
      <c r="P145" s="47">
        <f>'21.3'!$P$4</f>
        <v>0</v>
      </c>
      <c r="Q145" s="200">
        <f t="shared" si="91"/>
        <v>3375486.1779000005</v>
      </c>
      <c r="S145" s="208">
        <f t="shared" si="92"/>
        <v>0</v>
      </c>
    </row>
    <row r="146" spans="2:19" ht="15" customHeight="1">
      <c r="B146" s="90" t="s">
        <v>275</v>
      </c>
      <c r="C146" s="142" t="s">
        <v>264</v>
      </c>
      <c r="D146" s="91"/>
      <c r="E146" s="91"/>
      <c r="F146" s="92" t="s">
        <v>75</v>
      </c>
      <c r="G146" s="129">
        <f>'03.- Cubicaciones'!C135</f>
        <v>512.69999999999993</v>
      </c>
      <c r="H146" s="94">
        <f>'21.4'!$G$4</f>
        <v>3647.7939999999999</v>
      </c>
      <c r="I146" s="95">
        <f t="shared" si="90"/>
        <v>1870223.9837999996</v>
      </c>
      <c r="M146" s="192">
        <f>'21.4'!$M$4</f>
        <v>1101173.9837999998</v>
      </c>
      <c r="N146" s="47">
        <f>'21.4'!$N$4</f>
        <v>0</v>
      </c>
      <c r="O146" s="47">
        <f>'21.4'!$O$4</f>
        <v>769049.99999999988</v>
      </c>
      <c r="P146" s="47">
        <f>'21.4'!$P$4</f>
        <v>0</v>
      </c>
      <c r="Q146" s="200">
        <f t="shared" si="91"/>
        <v>1870223.9837999996</v>
      </c>
      <c r="S146" s="208">
        <f t="shared" si="92"/>
        <v>0</v>
      </c>
    </row>
    <row r="147" spans="2:19" ht="15" customHeight="1">
      <c r="B147" s="90" t="s">
        <v>276</v>
      </c>
      <c r="C147" s="142" t="s">
        <v>265</v>
      </c>
      <c r="D147" s="91"/>
      <c r="E147" s="91"/>
      <c r="F147" s="92" t="s">
        <v>75</v>
      </c>
      <c r="G147" s="129">
        <f>'03.- Cubicaciones'!C136</f>
        <v>934.01136000000008</v>
      </c>
      <c r="H147" s="94">
        <f>'21.5'!$G$4</f>
        <v>3647.7939999999999</v>
      </c>
      <c r="I147" s="95">
        <f t="shared" ref="I147:I153" si="93">IF(G147="","",G147*H147)</f>
        <v>3407081.03493984</v>
      </c>
      <c r="M147" s="192">
        <f>'21.5'!$M$4</f>
        <v>2006063.9949398404</v>
      </c>
      <c r="N147" s="47">
        <f>'21.5'!$N$4</f>
        <v>0</v>
      </c>
      <c r="O147" s="47">
        <f>'21.5'!$O$4</f>
        <v>1401017.04</v>
      </c>
      <c r="P147" s="47">
        <f>'21.5'!$P$4</f>
        <v>0</v>
      </c>
      <c r="Q147" s="200">
        <f t="shared" si="91"/>
        <v>3407081.0349398404</v>
      </c>
      <c r="S147" s="208">
        <f t="shared" si="92"/>
        <v>0</v>
      </c>
    </row>
    <row r="148" spans="2:19" ht="15" customHeight="1">
      <c r="B148" s="90" t="s">
        <v>277</v>
      </c>
      <c r="C148" s="142" t="s">
        <v>266</v>
      </c>
      <c r="D148" s="91"/>
      <c r="E148" s="91"/>
      <c r="F148" s="92" t="s">
        <v>75</v>
      </c>
      <c r="G148" s="129">
        <f>'03.- Cubicaciones'!C137</f>
        <v>203.64</v>
      </c>
      <c r="H148" s="94">
        <f>'21.6'!$G$4</f>
        <v>3647.7939999999999</v>
      </c>
      <c r="I148" s="95">
        <f t="shared" si="93"/>
        <v>742836.77015999996</v>
      </c>
      <c r="M148" s="192">
        <f>'21.6'!$M$4</f>
        <v>437376.77016000001</v>
      </c>
      <c r="N148" s="47">
        <f>'21.6'!$N$4</f>
        <v>0</v>
      </c>
      <c r="O148" s="47">
        <f>'21.6'!$O$4</f>
        <v>305460</v>
      </c>
      <c r="P148" s="47">
        <f>'21.6'!$P$4</f>
        <v>0</v>
      </c>
      <c r="Q148" s="200">
        <f t="shared" si="91"/>
        <v>742836.77016000007</v>
      </c>
      <c r="S148" s="208">
        <f t="shared" si="92"/>
        <v>0</v>
      </c>
    </row>
    <row r="149" spans="2:19" ht="15" customHeight="1">
      <c r="B149" s="90" t="s">
        <v>278</v>
      </c>
      <c r="C149" s="142" t="s">
        <v>267</v>
      </c>
      <c r="D149" s="91"/>
      <c r="E149" s="91"/>
      <c r="F149" s="92" t="s">
        <v>75</v>
      </c>
      <c r="G149" s="129">
        <f>'03.- Cubicaciones'!C138</f>
        <v>156.27925000000002</v>
      </c>
      <c r="H149" s="94">
        <f>'21.7'!$G$4</f>
        <v>3647.7939999999999</v>
      </c>
      <c r="I149" s="95">
        <f t="shared" si="93"/>
        <v>570074.51047450001</v>
      </c>
      <c r="M149" s="192">
        <f>'21.7'!$M$4</f>
        <v>335655.63547450001</v>
      </c>
      <c r="N149" s="47">
        <f>'21.7'!$N$4</f>
        <v>0</v>
      </c>
      <c r="O149" s="47">
        <f>'21.7'!$O$4</f>
        <v>234418.87500000003</v>
      </c>
      <c r="P149" s="47">
        <f>'21.7'!$P$4</f>
        <v>0</v>
      </c>
      <c r="Q149" s="200">
        <f t="shared" si="91"/>
        <v>570074.51047450001</v>
      </c>
      <c r="S149" s="208">
        <f t="shared" si="92"/>
        <v>0</v>
      </c>
    </row>
    <row r="150" spans="2:19" ht="15" customHeight="1">
      <c r="B150" s="90" t="s">
        <v>279</v>
      </c>
      <c r="C150" s="142" t="s">
        <v>268</v>
      </c>
      <c r="D150" s="91"/>
      <c r="E150" s="91"/>
      <c r="F150" s="92" t="s">
        <v>76</v>
      </c>
      <c r="G150" s="129">
        <f>'03.- Cubicaciones'!C139</f>
        <v>144</v>
      </c>
      <c r="H150" s="94">
        <f>'21.8'!$G$4</f>
        <v>2171.4580000000001</v>
      </c>
      <c r="I150" s="95">
        <f t="shared" si="93"/>
        <v>312689.95199999999</v>
      </c>
      <c r="M150" s="192">
        <f>'21.8'!$M$4</f>
        <v>103889.952</v>
      </c>
      <c r="N150" s="47">
        <f>'21.8'!$N$4</f>
        <v>173999.95200000002</v>
      </c>
      <c r="O150" s="47">
        <f>'21.8'!$O$4</f>
        <v>0</v>
      </c>
      <c r="P150" s="47">
        <f>'21.8'!$P$4</f>
        <v>34800.048000000003</v>
      </c>
      <c r="Q150" s="200">
        <f t="shared" si="91"/>
        <v>312689.95200000005</v>
      </c>
      <c r="S150" s="208">
        <f t="shared" si="92"/>
        <v>0</v>
      </c>
    </row>
    <row r="151" spans="2:19" ht="15" customHeight="1">
      <c r="B151" s="90" t="s">
        <v>280</v>
      </c>
      <c r="C151" s="142" t="s">
        <v>269</v>
      </c>
      <c r="D151" s="91"/>
      <c r="E151" s="91"/>
      <c r="F151" s="92" t="s">
        <v>76</v>
      </c>
      <c r="G151" s="129">
        <f>'03.- Cubicaciones'!C140</f>
        <v>48</v>
      </c>
      <c r="H151" s="94">
        <f>'21.9'!$G$4</f>
        <v>2038.0119999999999</v>
      </c>
      <c r="I151" s="95">
        <f t="shared" si="93"/>
        <v>97824.576000000001</v>
      </c>
      <c r="M151" s="192">
        <f>'21.9'!$M$4</f>
        <v>28224.576000000001</v>
      </c>
      <c r="N151" s="47">
        <f>'21.9'!$N$4</f>
        <v>57999.984000000004</v>
      </c>
      <c r="O151" s="47">
        <f>'21.9'!$O$4</f>
        <v>0</v>
      </c>
      <c r="P151" s="47">
        <f>'21.9'!$P$4</f>
        <v>11600.016</v>
      </c>
      <c r="Q151" s="200">
        <f t="shared" si="91"/>
        <v>97824.576000000001</v>
      </c>
      <c r="S151" s="208">
        <f t="shared" si="92"/>
        <v>0</v>
      </c>
    </row>
    <row r="152" spans="2:19" ht="15" customHeight="1">
      <c r="B152" s="90" t="s">
        <v>281</v>
      </c>
      <c r="C152" s="142" t="s">
        <v>270</v>
      </c>
      <c r="D152" s="91"/>
      <c r="E152" s="91"/>
      <c r="F152" s="92" t="s">
        <v>76</v>
      </c>
      <c r="G152" s="129">
        <f>'03.- Cubicaciones'!C141</f>
        <v>112</v>
      </c>
      <c r="H152" s="94">
        <f>'21.10'!$G$4</f>
        <v>2038.0119999999999</v>
      </c>
      <c r="I152" s="95">
        <f t="shared" si="93"/>
        <v>228257.34399999998</v>
      </c>
      <c r="M152" s="192">
        <f>'21.10'!$M$4</f>
        <v>65857.344000000012</v>
      </c>
      <c r="N152" s="47">
        <f>'21.10'!$N$4</f>
        <v>135333.296</v>
      </c>
      <c r="O152" s="47">
        <f>'21.10'!$O$4</f>
        <v>0</v>
      </c>
      <c r="P152" s="47">
        <f>'21.10'!$P$4</f>
        <v>27066.704000000002</v>
      </c>
      <c r="Q152" s="200">
        <f t="shared" si="69"/>
        <v>228257.34400000001</v>
      </c>
      <c r="S152" s="208">
        <f t="shared" si="70"/>
        <v>0</v>
      </c>
    </row>
    <row r="153" spans="2:19" ht="15" customHeight="1">
      <c r="B153" s="90" t="s">
        <v>282</v>
      </c>
      <c r="C153" s="142" t="s">
        <v>271</v>
      </c>
      <c r="D153" s="91"/>
      <c r="E153" s="91"/>
      <c r="F153" s="92" t="s">
        <v>75</v>
      </c>
      <c r="G153" s="129">
        <f>'03.- Cubicaciones'!C142</f>
        <v>585</v>
      </c>
      <c r="H153" s="94">
        <f>'21.11'!$G$4</f>
        <v>3647.7939999999999</v>
      </c>
      <c r="I153" s="95">
        <f t="shared" si="93"/>
        <v>2133959.4899999998</v>
      </c>
      <c r="M153" s="192">
        <f>'21.11'!$M$4</f>
        <v>1256459.49</v>
      </c>
      <c r="N153" s="47">
        <f>'21.11'!$N$4</f>
        <v>0</v>
      </c>
      <c r="O153" s="47">
        <f>'21.11'!$O$4</f>
        <v>877500</v>
      </c>
      <c r="P153" s="47">
        <f>'21.11'!$P$4</f>
        <v>0</v>
      </c>
      <c r="Q153" s="200">
        <f t="shared" si="69"/>
        <v>2133959.4900000002</v>
      </c>
      <c r="S153" s="208">
        <f t="shared" si="70"/>
        <v>0</v>
      </c>
    </row>
    <row r="154" spans="2:19" ht="15" customHeight="1">
      <c r="B154" s="127">
        <v>22</v>
      </c>
      <c r="C154" s="128" t="s">
        <v>283</v>
      </c>
      <c r="D154" s="91"/>
      <c r="E154" s="91"/>
      <c r="F154" s="92"/>
      <c r="G154" s="129"/>
      <c r="H154" s="94"/>
      <c r="I154" s="95"/>
      <c r="M154" s="192"/>
      <c r="N154" s="47"/>
      <c r="O154" s="47"/>
      <c r="P154" s="47"/>
      <c r="Q154" s="200"/>
      <c r="S154" s="208"/>
    </row>
    <row r="155" spans="2:19" ht="15" customHeight="1">
      <c r="B155" s="90" t="s">
        <v>290</v>
      </c>
      <c r="C155" s="142" t="s">
        <v>284</v>
      </c>
      <c r="D155" s="91"/>
      <c r="E155" s="91"/>
      <c r="F155" s="92" t="s">
        <v>75</v>
      </c>
      <c r="G155" s="129">
        <f>'03.- Cubicaciones'!C144</f>
        <v>829.03500000000008</v>
      </c>
      <c r="H155" s="94">
        <f>'22.1'!$G$4</f>
        <v>3769.7509999999997</v>
      </c>
      <c r="I155" s="95">
        <f t="shared" ref="I155" si="94">IF(G155="","",G155*H155)</f>
        <v>3125255.5202850001</v>
      </c>
      <c r="M155" s="192">
        <f>'22.1'!$M$4</f>
        <v>1804369.8064500003</v>
      </c>
      <c r="N155" s="47">
        <f>'22.1'!$N$4</f>
        <v>64444.206689999999</v>
      </c>
      <c r="O155" s="47">
        <f>'22.1'!$O$4</f>
        <v>1243552.5000000002</v>
      </c>
      <c r="P155" s="47">
        <f>'22.1'!$P$4</f>
        <v>12889.007145000001</v>
      </c>
      <c r="Q155" s="200">
        <f t="shared" si="69"/>
        <v>3125255.5202850006</v>
      </c>
      <c r="S155" s="208">
        <f t="shared" si="70"/>
        <v>0</v>
      </c>
    </row>
    <row r="156" spans="2:19" ht="15" customHeight="1">
      <c r="B156" s="90" t="s">
        <v>291</v>
      </c>
      <c r="C156" s="142" t="s">
        <v>285</v>
      </c>
      <c r="D156" s="91"/>
      <c r="E156" s="91"/>
      <c r="F156" s="92" t="s">
        <v>58</v>
      </c>
      <c r="G156" s="129">
        <f>'03.- Cubicaciones'!C145</f>
        <v>1</v>
      </c>
      <c r="H156" s="94">
        <f>'22.2'!$G$4</f>
        <v>71734.244000000006</v>
      </c>
      <c r="I156" s="95">
        <f t="shared" ref="I156:I160" si="95">IF(G156="","",G156*H156)</f>
        <v>71734.244000000006</v>
      </c>
      <c r="M156" s="192">
        <f>'22.2'!$M$4</f>
        <v>56734.244000000006</v>
      </c>
      <c r="N156" s="47">
        <f>'22.2'!$N$4</f>
        <v>0</v>
      </c>
      <c r="O156" s="47">
        <f>'22.2'!$O$4</f>
        <v>15000</v>
      </c>
      <c r="P156" s="47">
        <f>'22.2'!$P$4</f>
        <v>0</v>
      </c>
      <c r="Q156" s="200">
        <f t="shared" si="69"/>
        <v>71734.244000000006</v>
      </c>
      <c r="S156" s="208">
        <f t="shared" si="70"/>
        <v>0</v>
      </c>
    </row>
    <row r="157" spans="2:19" ht="15" customHeight="1">
      <c r="B157" s="90" t="s">
        <v>292</v>
      </c>
      <c r="C157" s="142" t="s">
        <v>286</v>
      </c>
      <c r="D157" s="91"/>
      <c r="E157" s="91"/>
      <c r="F157" s="92" t="s">
        <v>58</v>
      </c>
      <c r="G157" s="129">
        <f>'03.- Cubicaciones'!C146</f>
        <v>1</v>
      </c>
      <c r="H157" s="94">
        <f>'22.3'!$G$4</f>
        <v>10231.434000000001</v>
      </c>
      <c r="I157" s="95">
        <f t="shared" si="95"/>
        <v>10231.434000000001</v>
      </c>
      <c r="M157" s="192">
        <f>'22.3'!$M$4</f>
        <v>7606.4340000000002</v>
      </c>
      <c r="N157" s="47">
        <f>'22.3'!$N$4</f>
        <v>0</v>
      </c>
      <c r="O157" s="47">
        <f>'22.3'!$O$4</f>
        <v>2625</v>
      </c>
      <c r="P157" s="47">
        <f>'22.3'!$P$4</f>
        <v>0</v>
      </c>
      <c r="Q157" s="200">
        <f t="shared" si="69"/>
        <v>10231.434000000001</v>
      </c>
      <c r="S157" s="208">
        <f t="shared" si="70"/>
        <v>0</v>
      </c>
    </row>
    <row r="158" spans="2:19" ht="15" customHeight="1">
      <c r="B158" s="90" t="s">
        <v>293</v>
      </c>
      <c r="C158" s="142" t="s">
        <v>287</v>
      </c>
      <c r="D158" s="91"/>
      <c r="E158" s="91"/>
      <c r="F158" s="92" t="s">
        <v>76</v>
      </c>
      <c r="G158" s="129">
        <f>'03.- Cubicaciones'!C147</f>
        <v>2</v>
      </c>
      <c r="H158" s="94">
        <f>'22.4'!$G$4</f>
        <v>21717.325000000001</v>
      </c>
      <c r="I158" s="95">
        <f t="shared" si="95"/>
        <v>43434.65</v>
      </c>
      <c r="M158" s="192">
        <f>'22.4'!$M$4</f>
        <v>36957.983999999997</v>
      </c>
      <c r="N158" s="47">
        <f>'22.4'!$N$4</f>
        <v>5397.2219999999998</v>
      </c>
      <c r="O158" s="47">
        <f>'22.4'!$O$4</f>
        <v>0</v>
      </c>
      <c r="P158" s="47">
        <f>'22.4'!$P$4</f>
        <v>1079.444</v>
      </c>
      <c r="Q158" s="200">
        <f t="shared" si="69"/>
        <v>43434.65</v>
      </c>
      <c r="S158" s="208">
        <f t="shared" si="70"/>
        <v>0</v>
      </c>
    </row>
    <row r="159" spans="2:19" ht="15" customHeight="1">
      <c r="B159" s="90" t="s">
        <v>294</v>
      </c>
      <c r="C159" s="142" t="s">
        <v>288</v>
      </c>
      <c r="D159" s="91"/>
      <c r="E159" s="91"/>
      <c r="F159" s="92" t="s">
        <v>76</v>
      </c>
      <c r="G159" s="129">
        <f>'03.- Cubicaciones'!C148</f>
        <v>2</v>
      </c>
      <c r="H159" s="94">
        <f>'22.5'!$G$4</f>
        <v>31381.190000000002</v>
      </c>
      <c r="I159" s="95">
        <f t="shared" si="95"/>
        <v>62762.380000000005</v>
      </c>
      <c r="M159" s="192">
        <f>'22.5'!$M$4</f>
        <v>56285.714</v>
      </c>
      <c r="N159" s="47">
        <f>'22.5'!$N$4</f>
        <v>5397.2219999999998</v>
      </c>
      <c r="O159" s="47">
        <f>'22.5'!$O$4</f>
        <v>0</v>
      </c>
      <c r="P159" s="47">
        <f>'22.5'!$P$4</f>
        <v>1079.444</v>
      </c>
      <c r="Q159" s="200">
        <f t="shared" si="69"/>
        <v>62762.380000000005</v>
      </c>
      <c r="S159" s="208">
        <f t="shared" si="70"/>
        <v>0</v>
      </c>
    </row>
    <row r="160" spans="2:19" ht="15" customHeight="1">
      <c r="B160" s="90" t="s">
        <v>295</v>
      </c>
      <c r="C160" s="142" t="s">
        <v>289</v>
      </c>
      <c r="D160" s="91"/>
      <c r="E160" s="91"/>
      <c r="F160" s="92" t="s">
        <v>65</v>
      </c>
      <c r="G160" s="129">
        <f>'03.- Cubicaciones'!C149</f>
        <v>82.2</v>
      </c>
      <c r="H160" s="94">
        <f>'22.6'!$G$4</f>
        <v>28334.787</v>
      </c>
      <c r="I160" s="95">
        <f t="shared" si="95"/>
        <v>2329119.4914000002</v>
      </c>
      <c r="M160" s="192">
        <f>'22.6'!$M$4</f>
        <v>1008576.4914000001</v>
      </c>
      <c r="N160" s="47">
        <f>'22.6'!$N$4</f>
        <v>0</v>
      </c>
      <c r="O160" s="47">
        <f>'22.6'!$O$4</f>
        <v>1320543</v>
      </c>
      <c r="P160" s="47">
        <f>'22.6'!$P$4</f>
        <v>0</v>
      </c>
      <c r="Q160" s="200">
        <f t="shared" ref="Q160" si="96">SUM(M160:P160)</f>
        <v>2329119.4914000002</v>
      </c>
      <c r="S160" s="208">
        <f t="shared" ref="S160" si="97">I160-Q160</f>
        <v>0</v>
      </c>
    </row>
    <row r="161" spans="2:19" ht="15" customHeight="1">
      <c r="B161" s="127">
        <v>23</v>
      </c>
      <c r="C161" s="128" t="s">
        <v>296</v>
      </c>
      <c r="D161" s="91"/>
      <c r="E161" s="91"/>
      <c r="F161" s="92"/>
      <c r="G161" s="129"/>
      <c r="H161" s="94"/>
      <c r="I161" s="95"/>
      <c r="M161" s="192"/>
      <c r="N161" s="47"/>
      <c r="O161" s="47"/>
      <c r="P161" s="47"/>
      <c r="Q161" s="200"/>
      <c r="S161" s="208"/>
    </row>
    <row r="162" spans="2:19" ht="15" customHeight="1">
      <c r="B162" s="90" t="s">
        <v>303</v>
      </c>
      <c r="C162" s="142" t="s">
        <v>297</v>
      </c>
      <c r="D162" s="91"/>
      <c r="E162" s="91"/>
      <c r="F162" s="92" t="s">
        <v>18</v>
      </c>
      <c r="G162" s="129">
        <f>'03.- Cubicaciones'!C151</f>
        <v>716</v>
      </c>
      <c r="H162" s="94">
        <f>'23.1'!$G$4</f>
        <v>111888</v>
      </c>
      <c r="I162" s="95">
        <f t="shared" ref="I162" si="98">IF(G162="","",G162*H162)</f>
        <v>80111808</v>
      </c>
      <c r="M162" s="192">
        <f>'23.1'!$M$4</f>
        <v>0</v>
      </c>
      <c r="N162" s="47">
        <f>'23.1'!$N$4</f>
        <v>0</v>
      </c>
      <c r="O162" s="47">
        <f>'23.1'!$O$4</f>
        <v>80111808</v>
      </c>
      <c r="P162" s="47">
        <f>'23.1'!$P$4</f>
        <v>0</v>
      </c>
      <c r="Q162" s="200">
        <f t="shared" ref="Q162:Q167" si="99">SUM(M162:P162)</f>
        <v>80111808</v>
      </c>
      <c r="S162" s="208">
        <f t="shared" ref="S162:S167" si="100">I162-Q162</f>
        <v>0</v>
      </c>
    </row>
    <row r="163" spans="2:19" ht="15" customHeight="1">
      <c r="B163" s="90" t="s">
        <v>304</v>
      </c>
      <c r="C163" s="142" t="s">
        <v>298</v>
      </c>
      <c r="D163" s="91"/>
      <c r="E163" s="91"/>
      <c r="F163" s="92" t="s">
        <v>18</v>
      </c>
      <c r="G163" s="129">
        <f>'03.- Cubicaciones'!C152</f>
        <v>45</v>
      </c>
      <c r="H163" s="94">
        <f>'23.2'!$G$4</f>
        <v>78015</v>
      </c>
      <c r="I163" s="95">
        <f t="shared" ref="I163:I167" si="101">IF(G163="","",G163*H163)</f>
        <v>3510675</v>
      </c>
      <c r="M163" s="192">
        <f>'23.2'!$M$4</f>
        <v>0</v>
      </c>
      <c r="N163" s="47">
        <f>'23.2'!$N$4</f>
        <v>0</v>
      </c>
      <c r="O163" s="47">
        <f>'23.2'!$O$4</f>
        <v>3510675</v>
      </c>
      <c r="P163" s="47">
        <f>'23.2'!$P$4</f>
        <v>0</v>
      </c>
      <c r="Q163" s="200">
        <f t="shared" si="99"/>
        <v>3510675</v>
      </c>
      <c r="S163" s="208">
        <f t="shared" si="100"/>
        <v>0</v>
      </c>
    </row>
    <row r="164" spans="2:19" ht="15" customHeight="1">
      <c r="B164" s="90" t="s">
        <v>305</v>
      </c>
      <c r="C164" s="142" t="s">
        <v>299</v>
      </c>
      <c r="D164" s="91"/>
      <c r="E164" s="91"/>
      <c r="F164" s="92" t="s">
        <v>65</v>
      </c>
      <c r="G164" s="129">
        <f>'03.- Cubicaciones'!C153</f>
        <v>22</v>
      </c>
      <c r="H164" s="94">
        <f>'23.3'!$G$4</f>
        <v>42313</v>
      </c>
      <c r="I164" s="95">
        <f t="shared" si="101"/>
        <v>930886</v>
      </c>
      <c r="M164" s="192">
        <f>'23.3'!$M$4</f>
        <v>0</v>
      </c>
      <c r="N164" s="47">
        <f>'23.3'!$N$4</f>
        <v>0</v>
      </c>
      <c r="O164" s="47">
        <f>'23.3'!$O$4</f>
        <v>930886</v>
      </c>
      <c r="P164" s="47">
        <f>'23.3'!$P$4</f>
        <v>0</v>
      </c>
      <c r="Q164" s="200">
        <f t="shared" si="99"/>
        <v>930886</v>
      </c>
      <c r="S164" s="208">
        <f t="shared" si="100"/>
        <v>0</v>
      </c>
    </row>
    <row r="165" spans="2:19" ht="15" customHeight="1">
      <c r="B165" s="90" t="s">
        <v>306</v>
      </c>
      <c r="C165" s="142" t="s">
        <v>300</v>
      </c>
      <c r="D165" s="91"/>
      <c r="E165" s="91"/>
      <c r="F165" s="92" t="s">
        <v>65</v>
      </c>
      <c r="G165" s="129">
        <f>'03.- Cubicaciones'!C154</f>
        <v>64</v>
      </c>
      <c r="H165" s="94">
        <f>'23.4'!$G$4</f>
        <v>35937</v>
      </c>
      <c r="I165" s="95">
        <f t="shared" si="101"/>
        <v>2299968</v>
      </c>
      <c r="M165" s="192">
        <f>'23.4'!$M$4</f>
        <v>0</v>
      </c>
      <c r="N165" s="47">
        <f>'23.4'!$N$4</f>
        <v>0</v>
      </c>
      <c r="O165" s="47">
        <f>'23.4'!$O$4</f>
        <v>2299968</v>
      </c>
      <c r="P165" s="47">
        <f>'23.4'!$P$4</f>
        <v>0</v>
      </c>
      <c r="Q165" s="200">
        <f t="shared" si="99"/>
        <v>2299968</v>
      </c>
      <c r="S165" s="208">
        <f t="shared" si="100"/>
        <v>0</v>
      </c>
    </row>
    <row r="166" spans="2:19" ht="15" customHeight="1">
      <c r="B166" s="90" t="s">
        <v>307</v>
      </c>
      <c r="C166" s="142" t="s">
        <v>301</v>
      </c>
      <c r="D166" s="91"/>
      <c r="E166" s="91"/>
      <c r="F166" s="92" t="s">
        <v>65</v>
      </c>
      <c r="G166" s="129">
        <f>'03.- Cubicaciones'!C155</f>
        <v>60</v>
      </c>
      <c r="H166" s="94">
        <f>'23.5'!$G$4</f>
        <v>44230</v>
      </c>
      <c r="I166" s="95">
        <f t="shared" si="101"/>
        <v>2653800</v>
      </c>
      <c r="M166" s="192">
        <f>'23.5'!$M$4</f>
        <v>0</v>
      </c>
      <c r="N166" s="47">
        <f>'23.5'!$N$4</f>
        <v>0</v>
      </c>
      <c r="O166" s="47">
        <f>'23.5'!$O$4</f>
        <v>2653800</v>
      </c>
      <c r="P166" s="47">
        <f>'23.5'!$P$4</f>
        <v>0</v>
      </c>
      <c r="Q166" s="200">
        <f t="shared" si="99"/>
        <v>2653800</v>
      </c>
      <c r="S166" s="208">
        <f t="shared" si="100"/>
        <v>0</v>
      </c>
    </row>
    <row r="167" spans="2:19" ht="15" customHeight="1">
      <c r="B167" s="90" t="s">
        <v>308</v>
      </c>
      <c r="C167" s="142" t="s">
        <v>302</v>
      </c>
      <c r="D167" s="91"/>
      <c r="E167" s="91"/>
      <c r="F167" s="92" t="s">
        <v>65</v>
      </c>
      <c r="G167" s="129">
        <f>'03.- Cubicaciones'!C156</f>
        <v>126</v>
      </c>
      <c r="H167" s="94">
        <f>'23.6'!$G$4</f>
        <v>17663.333000000002</v>
      </c>
      <c r="I167" s="95">
        <f t="shared" si="101"/>
        <v>2225579.9580000001</v>
      </c>
      <c r="M167" s="192">
        <f>'23.6'!$M$4</f>
        <v>1543500</v>
      </c>
      <c r="N167" s="47">
        <f>'23.6'!$N$4</f>
        <v>568399.98600000003</v>
      </c>
      <c r="O167" s="47">
        <f>'23.6'!$O$4</f>
        <v>0</v>
      </c>
      <c r="P167" s="47">
        <f>'23.6'!$P$4</f>
        <v>113679.97199999999</v>
      </c>
      <c r="Q167" s="200">
        <f t="shared" si="99"/>
        <v>2225579.9580000001</v>
      </c>
      <c r="S167" s="208">
        <f t="shared" si="100"/>
        <v>0</v>
      </c>
    </row>
    <row r="168" spans="2:19" ht="15" customHeight="1">
      <c r="B168" s="90"/>
      <c r="C168" s="142"/>
      <c r="D168" s="91"/>
      <c r="E168" s="91"/>
      <c r="F168" s="92"/>
      <c r="G168" s="129"/>
      <c r="H168" s="94"/>
      <c r="I168" s="95"/>
      <c r="M168" s="192"/>
      <c r="N168" s="47"/>
      <c r="O168" s="47"/>
      <c r="P168" s="47"/>
      <c r="Q168" s="200"/>
      <c r="S168" s="208"/>
    </row>
    <row r="169" spans="2:19" ht="15" customHeight="1">
      <c r="B169" s="84"/>
      <c r="C169" s="141" t="s">
        <v>309</v>
      </c>
      <c r="D169" s="85"/>
      <c r="E169" s="85"/>
      <c r="F169" s="86"/>
      <c r="G169" s="130"/>
      <c r="H169" s="88"/>
      <c r="I169" s="89">
        <f>SUM(I171:I177)</f>
        <v>11130940.109999999</v>
      </c>
      <c r="M169" s="192"/>
      <c r="N169" s="47"/>
      <c r="O169" s="47"/>
      <c r="P169" s="47"/>
      <c r="Q169" s="201">
        <f>SUM(Q171:Q176)</f>
        <v>11130940.109999999</v>
      </c>
      <c r="S169" s="208"/>
    </row>
    <row r="170" spans="2:19" ht="15" customHeight="1">
      <c r="B170" s="127">
        <v>24</v>
      </c>
      <c r="C170" s="128" t="s">
        <v>310</v>
      </c>
      <c r="D170" s="91"/>
      <c r="E170" s="91"/>
      <c r="F170" s="92"/>
      <c r="G170" s="129"/>
      <c r="H170" s="94"/>
      <c r="I170" s="95" t="str">
        <f t="shared" ref="I170:I173" si="102">IF(G170="","",G170*H170)</f>
        <v/>
      </c>
      <c r="J170" s="16"/>
      <c r="K170" s="16"/>
      <c r="M170" s="192"/>
      <c r="N170" s="47"/>
      <c r="O170" s="47"/>
      <c r="P170" s="47"/>
      <c r="Q170" s="200"/>
      <c r="S170" s="208"/>
    </row>
    <row r="171" spans="2:19" ht="15" customHeight="1">
      <c r="B171" s="90" t="s">
        <v>317</v>
      </c>
      <c r="C171" s="142" t="s">
        <v>311</v>
      </c>
      <c r="D171" s="91"/>
      <c r="E171" s="91"/>
      <c r="F171" s="92" t="s">
        <v>67</v>
      </c>
      <c r="G171" s="129">
        <f>'03.- Cubicaciones'!C160</f>
        <v>80</v>
      </c>
      <c r="H171" s="94">
        <f>'24.1'!$G$4</f>
        <v>37286.583000000006</v>
      </c>
      <c r="I171" s="95">
        <f t="shared" si="102"/>
        <v>2982926.6400000006</v>
      </c>
      <c r="M171" s="192">
        <f>'24.1'!$M$4</f>
        <v>2704000</v>
      </c>
      <c r="N171" s="47">
        <f>'24.1'!$N$4</f>
        <v>115355.51999999999</v>
      </c>
      <c r="O171" s="47">
        <f>'24.1'!$O$4</f>
        <v>0</v>
      </c>
      <c r="P171" s="47">
        <f>'24.1'!$P$4</f>
        <v>163571.12</v>
      </c>
      <c r="Q171" s="200">
        <f t="shared" ref="Q171:Q172" si="103">SUM(M171:P171)</f>
        <v>2982926.64</v>
      </c>
      <c r="S171" s="208">
        <f t="shared" ref="S171:S172" si="104">I171-Q171</f>
        <v>0</v>
      </c>
    </row>
    <row r="172" spans="2:19" ht="15" customHeight="1">
      <c r="B172" s="90" t="s">
        <v>318</v>
      </c>
      <c r="C172" s="142" t="s">
        <v>312</v>
      </c>
      <c r="D172" s="91"/>
      <c r="E172" s="91"/>
      <c r="F172" s="92" t="s">
        <v>65</v>
      </c>
      <c r="G172" s="129">
        <f>'03.- Cubicaciones'!C161</f>
        <v>60</v>
      </c>
      <c r="H172" s="94">
        <f>'24.2'!$G$4</f>
        <v>6015.8119999999999</v>
      </c>
      <c r="I172" s="95">
        <f t="shared" si="102"/>
        <v>360948.72</v>
      </c>
      <c r="M172" s="192">
        <f>'24.2'!$M$4</f>
        <v>166648.74000000002</v>
      </c>
      <c r="N172" s="47">
        <f>'24.2'!$N$4</f>
        <v>161916.66</v>
      </c>
      <c r="O172" s="47">
        <f>'24.2'!$O$4</f>
        <v>0</v>
      </c>
      <c r="P172" s="47">
        <f>'24.2'!$P$4</f>
        <v>32383.32</v>
      </c>
      <c r="Q172" s="200">
        <f t="shared" si="103"/>
        <v>360948.72000000003</v>
      </c>
      <c r="S172" s="208">
        <f t="shared" si="104"/>
        <v>0</v>
      </c>
    </row>
    <row r="173" spans="2:19" ht="15" customHeight="1">
      <c r="B173" s="90" t="s">
        <v>319</v>
      </c>
      <c r="C173" s="142" t="s">
        <v>313</v>
      </c>
      <c r="D173" s="91"/>
      <c r="E173" s="91"/>
      <c r="F173" s="92" t="s">
        <v>65</v>
      </c>
      <c r="G173" s="129">
        <f>'03.- Cubicaciones'!C162</f>
        <v>250</v>
      </c>
      <c r="H173" s="94">
        <f>'24.3'!$G$4</f>
        <v>13863.543</v>
      </c>
      <c r="I173" s="95">
        <f t="shared" si="102"/>
        <v>3465885.75</v>
      </c>
      <c r="M173" s="192">
        <f>'24.3'!$M$4</f>
        <v>2656302.5</v>
      </c>
      <c r="N173" s="47">
        <f>'24.3'!$N$4</f>
        <v>674652.75</v>
      </c>
      <c r="O173" s="47">
        <f>'24.3'!$O$4</f>
        <v>0</v>
      </c>
      <c r="P173" s="47">
        <f>'24.3'!$P$4</f>
        <v>134930.5</v>
      </c>
      <c r="Q173" s="200">
        <f t="shared" ref="Q173" si="105">SUM(M173:P173)</f>
        <v>3465885.75</v>
      </c>
      <c r="S173" s="208">
        <f t="shared" ref="S173" si="106">I173-Q173</f>
        <v>0</v>
      </c>
    </row>
    <row r="174" spans="2:19" ht="15" customHeight="1">
      <c r="B174" s="127">
        <v>25</v>
      </c>
      <c r="C174" s="128" t="s">
        <v>314</v>
      </c>
      <c r="D174" s="91"/>
      <c r="E174" s="91"/>
      <c r="F174" s="92"/>
      <c r="G174" s="129"/>
      <c r="H174" s="94"/>
      <c r="I174" s="95"/>
      <c r="M174" s="192"/>
      <c r="N174" s="47"/>
      <c r="O174" s="47"/>
      <c r="P174" s="47"/>
      <c r="Q174" s="200"/>
      <c r="S174" s="208"/>
    </row>
    <row r="175" spans="2:19" ht="15" customHeight="1">
      <c r="B175" s="90" t="s">
        <v>320</v>
      </c>
      <c r="C175" s="142" t="s">
        <v>315</v>
      </c>
      <c r="D175" s="91"/>
      <c r="E175" s="91"/>
      <c r="F175" s="92" t="s">
        <v>65</v>
      </c>
      <c r="G175" s="129">
        <f>'03.- Cubicaciones'!C164</f>
        <v>73.3</v>
      </c>
      <c r="H175" s="94">
        <f>'25.1'!$G$4</f>
        <v>30550</v>
      </c>
      <c r="I175" s="95">
        <f t="shared" ref="I175:I176" si="107">IF(G175="","",G175*H175)</f>
        <v>2239315</v>
      </c>
      <c r="M175" s="192">
        <f>'25.1'!$M$4</f>
        <v>0</v>
      </c>
      <c r="N175" s="47">
        <f>'25.1'!$N$4</f>
        <v>0</v>
      </c>
      <c r="O175" s="47">
        <f>'25.1'!$O$4</f>
        <v>2239315</v>
      </c>
      <c r="P175" s="47">
        <f>'25.1'!$P$4</f>
        <v>0</v>
      </c>
      <c r="Q175" s="200">
        <f t="shared" ref="Q175" si="108">SUM(M175:P175)</f>
        <v>2239315</v>
      </c>
      <c r="S175" s="208">
        <f t="shared" ref="S175" si="109">I175-Q175</f>
        <v>0</v>
      </c>
    </row>
    <row r="176" spans="2:19" ht="15" customHeight="1">
      <c r="B176" s="90" t="s">
        <v>321</v>
      </c>
      <c r="C176" s="142" t="s">
        <v>316</v>
      </c>
      <c r="D176" s="91"/>
      <c r="E176" s="91"/>
      <c r="F176" s="92" t="s">
        <v>76</v>
      </c>
      <c r="G176" s="129">
        <f>'03.- Cubicaciones'!C165</f>
        <v>4</v>
      </c>
      <c r="H176" s="94">
        <f>'25.2'!$G$4</f>
        <v>520466</v>
      </c>
      <c r="I176" s="95">
        <f t="shared" si="107"/>
        <v>2081864</v>
      </c>
      <c r="M176" s="192">
        <f>'25.2'!$M$4</f>
        <v>0</v>
      </c>
      <c r="N176" s="47">
        <f>'25.2'!$N$4</f>
        <v>0</v>
      </c>
      <c r="O176" s="47">
        <f>'25.2'!$O$4</f>
        <v>2081864</v>
      </c>
      <c r="P176" s="47">
        <f>'25.2'!$P$4</f>
        <v>0</v>
      </c>
      <c r="Q176" s="200">
        <f t="shared" ref="Q176" si="110">SUM(M176:P176)</f>
        <v>2081864</v>
      </c>
      <c r="S176" s="208">
        <f t="shared" ref="S176" si="111">I176-Q176</f>
        <v>0</v>
      </c>
    </row>
    <row r="177" spans="2:19" ht="15" customHeight="1">
      <c r="B177" s="90"/>
      <c r="C177" s="142"/>
      <c r="D177" s="91"/>
      <c r="E177" s="91"/>
      <c r="F177" s="92"/>
      <c r="G177" s="129"/>
      <c r="H177" s="94"/>
      <c r="I177" s="95"/>
      <c r="M177" s="192"/>
      <c r="N177" s="47"/>
      <c r="O177" s="47"/>
      <c r="P177" s="47"/>
      <c r="Q177" s="200"/>
      <c r="S177" s="208"/>
    </row>
    <row r="178" spans="2:19" ht="15" customHeight="1">
      <c r="B178" s="84"/>
      <c r="C178" s="141" t="s">
        <v>322</v>
      </c>
      <c r="D178" s="85"/>
      <c r="E178" s="85"/>
      <c r="F178" s="86"/>
      <c r="G178" s="130"/>
      <c r="H178" s="88"/>
      <c r="I178" s="89">
        <f>SUM(I180:I186)</f>
        <v>7907860.8769999985</v>
      </c>
      <c r="M178" s="192"/>
      <c r="N178" s="47"/>
      <c r="O178" s="47"/>
      <c r="P178" s="47"/>
      <c r="Q178" s="201">
        <f>SUM(Q180:Q185)</f>
        <v>7187949.9509999994</v>
      </c>
      <c r="S178" s="208"/>
    </row>
    <row r="179" spans="2:19" ht="15" customHeight="1">
      <c r="B179" s="127">
        <v>26</v>
      </c>
      <c r="C179" s="128" t="s">
        <v>323</v>
      </c>
      <c r="D179" s="91"/>
      <c r="E179" s="91"/>
      <c r="F179" s="92"/>
      <c r="G179" s="129"/>
      <c r="H179" s="94"/>
      <c r="I179" s="95" t="str">
        <f t="shared" ref="I179:I180" si="112">IF(G179="","",G179*H179)</f>
        <v/>
      </c>
      <c r="J179" s="16"/>
      <c r="K179" s="16"/>
      <c r="M179" s="192"/>
      <c r="N179" s="47"/>
      <c r="O179" s="47"/>
      <c r="P179" s="47"/>
      <c r="Q179" s="200"/>
      <c r="S179" s="208"/>
    </row>
    <row r="180" spans="2:19" ht="15" customHeight="1">
      <c r="B180" s="90" t="s">
        <v>330</v>
      </c>
      <c r="C180" s="142" t="s">
        <v>324</v>
      </c>
      <c r="D180" s="91"/>
      <c r="E180" s="91"/>
      <c r="F180" s="92" t="s">
        <v>76</v>
      </c>
      <c r="G180" s="129">
        <f>'03.- Cubicaciones'!C169</f>
        <v>4</v>
      </c>
      <c r="H180" s="94">
        <f>'26.1'!$G$4</f>
        <v>556715.4389999999</v>
      </c>
      <c r="I180" s="95">
        <f t="shared" si="112"/>
        <v>2226861.7559999996</v>
      </c>
      <c r="M180" s="192">
        <f>'26.1'!$M$4</f>
        <v>1416722.1679999998</v>
      </c>
      <c r="N180" s="47">
        <f>'26.1'!$N$4</f>
        <v>577422.22399999993</v>
      </c>
      <c r="O180" s="47">
        <f>'26.1'!$O$4</f>
        <v>57232.92</v>
      </c>
      <c r="P180" s="47">
        <f>'26.1'!$P$4</f>
        <v>175484.44400000002</v>
      </c>
      <c r="Q180" s="200">
        <f t="shared" ref="Q180:Q181" si="113">SUM(M180:P180)</f>
        <v>2226861.7559999996</v>
      </c>
      <c r="S180" s="208">
        <f t="shared" ref="S180:S181" si="114">I180-Q180</f>
        <v>0</v>
      </c>
    </row>
    <row r="181" spans="2:19" ht="15" customHeight="1">
      <c r="B181" s="90" t="s">
        <v>331</v>
      </c>
      <c r="C181" s="142" t="s">
        <v>325</v>
      </c>
      <c r="D181" s="91"/>
      <c r="E181" s="91"/>
      <c r="F181" s="92" t="s">
        <v>76</v>
      </c>
      <c r="G181" s="129">
        <f>'03.- Cubicaciones'!C170</f>
        <v>2</v>
      </c>
      <c r="H181" s="94">
        <f>'26.2'!$G$4</f>
        <v>528544.54099999997</v>
      </c>
      <c r="I181" s="95">
        <f t="shared" ref="I181:I185" si="115">IF(G181="","",G181*H181)</f>
        <v>1057089.0819999999</v>
      </c>
      <c r="M181" s="192">
        <f>'26.2'!$M$4</f>
        <v>650886.47600000002</v>
      </c>
      <c r="N181" s="47">
        <f>'26.2'!$N$4</f>
        <v>288711.11199999996</v>
      </c>
      <c r="O181" s="47">
        <f>'26.2'!$O$4</f>
        <v>29749.272000000001</v>
      </c>
      <c r="P181" s="47">
        <f>'26.2'!$P$4</f>
        <v>87742.222000000009</v>
      </c>
      <c r="Q181" s="200">
        <f t="shared" si="113"/>
        <v>1057089.0819999999</v>
      </c>
      <c r="S181" s="208">
        <f t="shared" si="114"/>
        <v>0</v>
      </c>
    </row>
    <row r="182" spans="2:19" ht="15" customHeight="1">
      <c r="B182" s="90" t="s">
        <v>332</v>
      </c>
      <c r="C182" s="142" t="s">
        <v>326</v>
      </c>
      <c r="D182" s="91"/>
      <c r="E182" s="91"/>
      <c r="F182" s="92" t="s">
        <v>76</v>
      </c>
      <c r="G182" s="129">
        <f>'03.- Cubicaciones'!C171</f>
        <v>1</v>
      </c>
      <c r="H182" s="94">
        <f>'26.3'!$G$4</f>
        <v>529279.22899999993</v>
      </c>
      <c r="I182" s="95">
        <f t="shared" si="115"/>
        <v>529279.22899999993</v>
      </c>
      <c r="M182" s="192">
        <f>'26.3'!$M$4</f>
        <v>324891.48099999997</v>
      </c>
      <c r="N182" s="47">
        <f>'26.3'!$N$4</f>
        <v>144355.55599999998</v>
      </c>
      <c r="O182" s="47">
        <f>'26.3'!$O$4</f>
        <v>16161.081</v>
      </c>
      <c r="P182" s="47">
        <f>'26.3'!$P$4</f>
        <v>43871.111000000004</v>
      </c>
      <c r="Q182" s="200">
        <f t="shared" ref="Q182:Q184" si="116">SUM(M182:P182)</f>
        <v>529279.22899999993</v>
      </c>
      <c r="S182" s="208">
        <f t="shared" ref="S182:S184" si="117">I182-Q182</f>
        <v>0</v>
      </c>
    </row>
    <row r="183" spans="2:19" ht="15" customHeight="1">
      <c r="B183" s="90" t="s">
        <v>333</v>
      </c>
      <c r="C183" s="142" t="s">
        <v>327</v>
      </c>
      <c r="D183" s="91"/>
      <c r="E183" s="91"/>
      <c r="F183" s="92" t="s">
        <v>76</v>
      </c>
      <c r="G183" s="129">
        <f>'03.- Cubicaciones'!C172</f>
        <v>2</v>
      </c>
      <c r="H183" s="94">
        <f>'26.4'!$G$4</f>
        <v>557678.63400000008</v>
      </c>
      <c r="I183" s="95">
        <f t="shared" si="115"/>
        <v>1115357.2680000002</v>
      </c>
      <c r="M183" s="192">
        <f>'26.4'!$M$4</f>
        <v>703801.57000000007</v>
      </c>
      <c r="N183" s="47">
        <f>'26.4'!$N$4</f>
        <v>288711.11199999996</v>
      </c>
      <c r="O183" s="47">
        <f>'26.4'!$O$4</f>
        <v>35102.364000000001</v>
      </c>
      <c r="P183" s="47">
        <f>'26.4'!$P$4</f>
        <v>87742.222000000009</v>
      </c>
      <c r="Q183" s="200">
        <f t="shared" si="116"/>
        <v>1115357.2680000002</v>
      </c>
      <c r="S183" s="208">
        <f t="shared" si="117"/>
        <v>0</v>
      </c>
    </row>
    <row r="184" spans="2:19" ht="15" customHeight="1">
      <c r="B184" s="90" t="s">
        <v>334</v>
      </c>
      <c r="C184" s="142" t="s">
        <v>328</v>
      </c>
      <c r="D184" s="91"/>
      <c r="E184" s="91"/>
      <c r="F184" s="92" t="s">
        <v>65</v>
      </c>
      <c r="G184" s="129">
        <f>'03.- Cubicaciones'!C173</f>
        <v>21</v>
      </c>
      <c r="H184" s="94">
        <f>'26.5'!$G$4</f>
        <v>107588.69599999998</v>
      </c>
      <c r="I184" s="95">
        <f t="shared" si="115"/>
        <v>2259362.6159999995</v>
      </c>
      <c r="M184" s="192">
        <f>'26.5'!$M$4</f>
        <v>1322337.996</v>
      </c>
      <c r="N184" s="47">
        <f>'26.5'!$N$4</f>
        <v>83575.106999999989</v>
      </c>
      <c r="O184" s="47">
        <f>'26.5'!$O$4</f>
        <v>158256</v>
      </c>
      <c r="P184" s="47">
        <f>'26.5'!$P$4</f>
        <v>695193.51300000004</v>
      </c>
      <c r="Q184" s="200">
        <f t="shared" si="116"/>
        <v>2259362.6160000004</v>
      </c>
      <c r="S184" s="208">
        <f t="shared" si="117"/>
        <v>0</v>
      </c>
    </row>
    <row r="185" spans="2:19" ht="15" customHeight="1">
      <c r="B185" s="90" t="s">
        <v>335</v>
      </c>
      <c r="C185" s="142" t="s">
        <v>329</v>
      </c>
      <c r="D185" s="91"/>
      <c r="E185" s="91"/>
      <c r="F185" s="92" t="s">
        <v>65</v>
      </c>
      <c r="G185" s="129">
        <f>'03.- Cubicaciones'!C174</f>
        <v>14</v>
      </c>
      <c r="H185" s="94">
        <f>'26.6'!$G$4</f>
        <v>51422.208999999995</v>
      </c>
      <c r="I185" s="95">
        <f t="shared" si="115"/>
        <v>719910.92599999998</v>
      </c>
      <c r="M185" s="192">
        <f>'26.6'!$M$4</f>
        <v>464043.42599999998</v>
      </c>
      <c r="N185" s="47">
        <f>'26.6'!$N$4</f>
        <v>29715.588000000003</v>
      </c>
      <c r="O185" s="47">
        <f>'26.6'!$O$4</f>
        <v>52752</v>
      </c>
      <c r="P185" s="47">
        <f>'26.6'!$P$4</f>
        <v>173399.91199999998</v>
      </c>
      <c r="Q185" s="200"/>
      <c r="S185" s="208"/>
    </row>
    <row r="186" spans="2:19" ht="15" customHeight="1">
      <c r="B186" s="90"/>
      <c r="C186" s="142"/>
      <c r="D186" s="91"/>
      <c r="E186" s="91"/>
      <c r="F186" s="92"/>
      <c r="G186" s="129"/>
      <c r="H186" s="94"/>
      <c r="I186" s="95"/>
      <c r="J186" s="16"/>
      <c r="K186" s="16"/>
      <c r="M186" s="192"/>
      <c r="N186" s="47"/>
      <c r="O186" s="47"/>
      <c r="P186" s="47"/>
      <c r="Q186" s="200"/>
      <c r="S186" s="208"/>
    </row>
    <row r="187" spans="2:19" ht="15" customHeight="1">
      <c r="B187" s="84"/>
      <c r="C187" s="141" t="s">
        <v>336</v>
      </c>
      <c r="D187" s="85"/>
      <c r="E187" s="85"/>
      <c r="F187" s="86"/>
      <c r="G187" s="130"/>
      <c r="H187" s="88"/>
      <c r="I187" s="89">
        <f>SUM(I188:I192)</f>
        <v>4855685.7060000012</v>
      </c>
      <c r="J187" s="16"/>
      <c r="K187" s="16"/>
      <c r="M187" s="192"/>
      <c r="N187" s="47"/>
      <c r="O187" s="47"/>
      <c r="P187" s="47"/>
      <c r="Q187" s="201">
        <f>SUM(Q188:Q192)</f>
        <v>4855685.7060000002</v>
      </c>
      <c r="S187" s="208"/>
    </row>
    <row r="188" spans="2:19" ht="15" customHeight="1">
      <c r="B188" s="127">
        <v>27</v>
      </c>
      <c r="C188" s="128" t="s">
        <v>337</v>
      </c>
      <c r="D188" s="91"/>
      <c r="E188" s="91"/>
      <c r="F188" s="92"/>
      <c r="G188" s="129"/>
      <c r="H188" s="94"/>
      <c r="I188" s="95" t="str">
        <f t="shared" ref="I188:I192" si="118">IF(G188="","",G188*H188)</f>
        <v/>
      </c>
      <c r="J188" s="16"/>
      <c r="K188" s="16"/>
      <c r="M188" s="192"/>
      <c r="N188" s="47"/>
      <c r="O188" s="47"/>
      <c r="P188" s="47"/>
      <c r="Q188" s="200"/>
      <c r="S188" s="208"/>
    </row>
    <row r="189" spans="2:19" ht="15" customHeight="1">
      <c r="B189" s="90" t="s">
        <v>342</v>
      </c>
      <c r="C189" s="142" t="s">
        <v>338</v>
      </c>
      <c r="D189" s="91"/>
      <c r="E189" s="91"/>
      <c r="F189" s="92" t="s">
        <v>76</v>
      </c>
      <c r="G189" s="129">
        <f>'03.- Cubicaciones'!C178</f>
        <v>5</v>
      </c>
      <c r="H189" s="94">
        <f>'27.1'!$G$4</f>
        <v>550083.95200000005</v>
      </c>
      <c r="I189" s="95">
        <f t="shared" si="118"/>
        <v>2750419.7600000002</v>
      </c>
      <c r="M189" s="192">
        <f>'27.1'!$M$4</f>
        <v>2179409.7599999998</v>
      </c>
      <c r="N189" s="47">
        <f>'27.1'!$N$4</f>
        <v>475841.66499999998</v>
      </c>
      <c r="O189" s="47">
        <f>'27.1'!$O$4</f>
        <v>0</v>
      </c>
      <c r="P189" s="47">
        <f>'27.1'!$P$4</f>
        <v>95168.335000000006</v>
      </c>
      <c r="Q189" s="200">
        <f t="shared" ref="Q189:Q190" si="119">SUM(M189:P189)</f>
        <v>2750419.76</v>
      </c>
      <c r="S189" s="208">
        <f t="shared" ref="S189:S190" si="120">I189-Q189</f>
        <v>0</v>
      </c>
    </row>
    <row r="190" spans="2:19" ht="15" customHeight="1">
      <c r="B190" s="90" t="s">
        <v>343</v>
      </c>
      <c r="C190" s="142" t="s">
        <v>339</v>
      </c>
      <c r="D190" s="91"/>
      <c r="E190" s="91"/>
      <c r="F190" s="92" t="s">
        <v>76</v>
      </c>
      <c r="G190" s="129">
        <f>'03.- Cubicaciones'!C179</f>
        <v>1</v>
      </c>
      <c r="H190" s="94">
        <f>'27.2'!$G$4</f>
        <v>687604.94</v>
      </c>
      <c r="I190" s="95">
        <f t="shared" si="118"/>
        <v>687604.94</v>
      </c>
      <c r="M190" s="192">
        <f>'27.2'!$M$4</f>
        <v>544852.43999999994</v>
      </c>
      <c r="N190" s="47">
        <f>'27.2'!$N$4</f>
        <v>118960.417</v>
      </c>
      <c r="O190" s="47">
        <f>'27.2'!$O$4</f>
        <v>0</v>
      </c>
      <c r="P190" s="47">
        <f>'27.2'!$P$4</f>
        <v>23792.082999999999</v>
      </c>
      <c r="Q190" s="200">
        <f t="shared" si="119"/>
        <v>687604.94</v>
      </c>
      <c r="S190" s="208">
        <f t="shared" si="120"/>
        <v>0</v>
      </c>
    </row>
    <row r="191" spans="2:19" ht="15" customHeight="1">
      <c r="B191" s="90" t="s">
        <v>344</v>
      </c>
      <c r="C191" s="142" t="s">
        <v>340</v>
      </c>
      <c r="D191" s="91"/>
      <c r="E191" s="91"/>
      <c r="F191" s="92" t="s">
        <v>76</v>
      </c>
      <c r="G191" s="129">
        <f>'03.- Cubicaciones'!C180</f>
        <v>5</v>
      </c>
      <c r="H191" s="94">
        <f>'27.3'!$G$4</f>
        <v>226825.76100000003</v>
      </c>
      <c r="I191" s="95">
        <f t="shared" si="118"/>
        <v>1134128.8050000002</v>
      </c>
      <c r="M191" s="192">
        <f>'27.3'!$M$4</f>
        <v>878758.14</v>
      </c>
      <c r="N191" s="47">
        <f>'27.3'!$N$4</f>
        <v>46142.22</v>
      </c>
      <c r="O191" s="47">
        <f>'27.3'!$O$4</f>
        <v>172800</v>
      </c>
      <c r="P191" s="47">
        <f>'27.3'!$P$4</f>
        <v>36428.445</v>
      </c>
      <c r="Q191" s="200">
        <f t="shared" ref="Q191:Q192" si="121">SUM(M191:P191)</f>
        <v>1134128.8049999999</v>
      </c>
      <c r="S191" s="208">
        <f t="shared" ref="S191:S192" si="122">I191-Q191</f>
        <v>0</v>
      </c>
    </row>
    <row r="192" spans="2:19" ht="15" customHeight="1">
      <c r="B192" s="90" t="s">
        <v>345</v>
      </c>
      <c r="C192" s="142" t="s">
        <v>341</v>
      </c>
      <c r="D192" s="91"/>
      <c r="E192" s="91"/>
      <c r="F192" s="92" t="s">
        <v>76</v>
      </c>
      <c r="G192" s="129">
        <f>'03.- Cubicaciones'!C181</f>
        <v>1</v>
      </c>
      <c r="H192" s="94">
        <f>'27.4'!$G$4</f>
        <v>283532.201</v>
      </c>
      <c r="I192" s="95">
        <f t="shared" si="118"/>
        <v>283532.201</v>
      </c>
      <c r="M192" s="192">
        <f>'27.4'!$M$4</f>
        <v>219689.53400000001</v>
      </c>
      <c r="N192" s="47">
        <f>'27.4'!$N$4</f>
        <v>11535.556</v>
      </c>
      <c r="O192" s="47">
        <f>'27.4'!$O$4</f>
        <v>43200</v>
      </c>
      <c r="P192" s="47">
        <f>'27.4'!$P$4</f>
        <v>9107.1110000000008</v>
      </c>
      <c r="Q192" s="200">
        <f t="shared" si="121"/>
        <v>283532.201</v>
      </c>
      <c r="S192" s="208">
        <f t="shared" si="122"/>
        <v>0</v>
      </c>
    </row>
    <row r="193" spans="2:24" ht="15" customHeight="1">
      <c r="B193" s="90"/>
      <c r="C193" s="142"/>
      <c r="D193" s="91"/>
      <c r="E193" s="91"/>
      <c r="F193" s="92"/>
      <c r="G193" s="93"/>
      <c r="H193" s="96"/>
      <c r="I193" s="95"/>
      <c r="J193" s="16"/>
      <c r="K193" s="16"/>
      <c r="M193" s="193"/>
      <c r="N193" s="194"/>
      <c r="O193" s="194"/>
      <c r="P193" s="194"/>
      <c r="Q193" s="195"/>
      <c r="S193" s="209"/>
    </row>
    <row r="194" spans="2:24" ht="15" customHeight="1">
      <c r="B194" s="90"/>
      <c r="C194" s="142"/>
      <c r="D194" s="91"/>
      <c r="E194" s="91"/>
      <c r="F194" s="92"/>
      <c r="G194" s="93"/>
      <c r="H194" s="96"/>
      <c r="I194" s="95" t="str">
        <f t="shared" ref="I194" si="123">IF(G194="","",G194*H194)</f>
        <v/>
      </c>
      <c r="J194" s="16"/>
      <c r="K194" s="16"/>
      <c r="M194" s="196">
        <f>SUM(M14:M193)</f>
        <v>189474043.76236814</v>
      </c>
      <c r="N194" s="196">
        <f t="shared" ref="N194:P194" si="124">SUM(N14:N193)</f>
        <v>13405163.549874382</v>
      </c>
      <c r="O194" s="196">
        <f t="shared" si="124"/>
        <v>138013224.80899999</v>
      </c>
      <c r="P194" s="196">
        <f t="shared" si="124"/>
        <v>93257515.352390781</v>
      </c>
      <c r="Q194" s="196">
        <f>SUM(M194:P194)</f>
        <v>434149947.47363329</v>
      </c>
      <c r="S194" s="207"/>
      <c r="X194" s="46"/>
    </row>
    <row r="195" spans="2:24" ht="15" customHeight="1">
      <c r="B195" s="97"/>
      <c r="C195" s="142"/>
      <c r="D195" s="91"/>
      <c r="E195" s="92"/>
      <c r="F195" s="98" t="s">
        <v>22</v>
      </c>
      <c r="G195" s="98"/>
      <c r="H195" s="98"/>
      <c r="I195" s="99">
        <f>I14+I37+I113+I127+I169+I178+I187</f>
        <v>434149947.47700614</v>
      </c>
      <c r="J195" s="16"/>
      <c r="K195" s="16"/>
      <c r="N195" s="45"/>
      <c r="S195" s="45"/>
      <c r="X195" s="45"/>
    </row>
    <row r="196" spans="2:24" ht="15" customHeight="1">
      <c r="B196" s="97"/>
      <c r="C196" s="142"/>
      <c r="D196" s="91"/>
      <c r="E196" s="100"/>
      <c r="F196" s="101" t="s">
        <v>20</v>
      </c>
      <c r="G196" s="101"/>
      <c r="H196" s="102">
        <f>I196/I195</f>
        <v>0.31512729828729508</v>
      </c>
      <c r="I196" s="103">
        <f>'02.- Gastos Generales'!I59</f>
        <v>136812500</v>
      </c>
      <c r="J196" s="16"/>
      <c r="K196" s="16"/>
      <c r="N196" s="45"/>
      <c r="S196" s="45"/>
      <c r="X196" s="45"/>
    </row>
    <row r="197" spans="2:24" ht="15" customHeight="1">
      <c r="B197" s="97"/>
      <c r="C197" s="142"/>
      <c r="D197" s="91"/>
      <c r="E197" s="100"/>
      <c r="F197" s="101" t="s">
        <v>21</v>
      </c>
      <c r="G197" s="101"/>
      <c r="H197" s="102">
        <v>0.15</v>
      </c>
      <c r="I197" s="103">
        <f>(I195+I196)*H197</f>
        <v>85644367.121550933</v>
      </c>
      <c r="J197" s="16"/>
      <c r="K197" s="16"/>
      <c r="N197"/>
      <c r="O197"/>
      <c r="P197"/>
      <c r="Q197"/>
    </row>
    <row r="198" spans="2:24" ht="15" customHeight="1">
      <c r="B198" s="97"/>
      <c r="C198" s="142"/>
      <c r="D198" s="91"/>
      <c r="E198" s="100"/>
      <c r="F198" s="98" t="s">
        <v>8</v>
      </c>
      <c r="G198" s="98"/>
      <c r="H198" s="211"/>
      <c r="I198" s="99">
        <f>I195+I196+I197</f>
        <v>656606814.59855711</v>
      </c>
      <c r="J198" s="16"/>
      <c r="K198" s="16"/>
      <c r="N198"/>
      <c r="O198"/>
      <c r="P198"/>
      <c r="Q198"/>
    </row>
    <row r="199" spans="2:24" ht="15" customHeight="1">
      <c r="B199" s="97"/>
      <c r="C199" s="142"/>
      <c r="D199" s="91"/>
      <c r="E199" s="100"/>
      <c r="F199" s="101" t="s">
        <v>23</v>
      </c>
      <c r="G199" s="101"/>
      <c r="H199" s="102">
        <v>0.19</v>
      </c>
      <c r="I199" s="103">
        <f>I198*H199</f>
        <v>124755294.77372585</v>
      </c>
      <c r="N199"/>
      <c r="O199"/>
      <c r="P199"/>
      <c r="Q199"/>
    </row>
    <row r="200" spans="2:24" ht="15" customHeight="1">
      <c r="B200" s="106"/>
      <c r="C200" s="142"/>
      <c r="D200" s="91"/>
      <c r="E200" s="91"/>
      <c r="F200" s="98" t="s">
        <v>24</v>
      </c>
      <c r="G200" s="107"/>
      <c r="H200" s="108"/>
      <c r="I200" s="99">
        <f>I198+I199</f>
        <v>781362109.37228298</v>
      </c>
      <c r="N200"/>
      <c r="O200"/>
      <c r="P200"/>
      <c r="Q200"/>
    </row>
    <row r="201" spans="2:24" ht="15" customHeight="1" thickBot="1">
      <c r="B201" s="109"/>
      <c r="C201" s="143"/>
      <c r="D201" s="110"/>
      <c r="E201" s="110"/>
      <c r="F201" s="111"/>
      <c r="G201" s="112"/>
      <c r="H201" s="112"/>
      <c r="I201" s="113"/>
      <c r="N201"/>
      <c r="O201"/>
      <c r="P201"/>
      <c r="Q201"/>
    </row>
    <row r="202" spans="2:24" ht="15" customHeight="1" thickBot="1">
      <c r="B202" s="40" t="s">
        <v>25</v>
      </c>
      <c r="C202" s="144"/>
      <c r="D202" s="41"/>
      <c r="E202" s="41"/>
      <c r="F202" s="41"/>
      <c r="G202" s="41"/>
      <c r="H202" s="41"/>
      <c r="I202" s="42"/>
      <c r="N202"/>
      <c r="O202"/>
      <c r="P202"/>
      <c r="Q202"/>
    </row>
    <row r="203" spans="2:24" ht="15" customHeight="1">
      <c r="B203" s="37" t="s">
        <v>26</v>
      </c>
      <c r="C203" s="139"/>
      <c r="D203" s="10"/>
      <c r="E203" s="10"/>
      <c r="F203" s="10"/>
      <c r="G203" s="10"/>
      <c r="H203" s="10"/>
      <c r="I203" s="33"/>
      <c r="N203"/>
      <c r="O203"/>
      <c r="P203"/>
      <c r="Q203"/>
    </row>
    <row r="204" spans="2:24" ht="15" customHeight="1">
      <c r="B204" s="37" t="s">
        <v>27</v>
      </c>
      <c r="C204" s="139"/>
      <c r="D204" s="10"/>
      <c r="E204" s="10"/>
      <c r="F204" s="10"/>
      <c r="G204" s="10"/>
      <c r="H204" s="10"/>
      <c r="I204" s="33"/>
      <c r="N204"/>
      <c r="O204"/>
      <c r="P204"/>
      <c r="Q204"/>
    </row>
    <row r="205" spans="2:24" ht="15" customHeight="1">
      <c r="B205" s="37" t="s">
        <v>28</v>
      </c>
      <c r="C205" s="139"/>
      <c r="D205" s="10"/>
      <c r="E205" s="10"/>
      <c r="F205" s="10"/>
      <c r="G205" s="10"/>
      <c r="H205" s="10"/>
      <c r="I205" s="33"/>
      <c r="N205"/>
      <c r="O205"/>
      <c r="P205"/>
      <c r="Q205"/>
    </row>
    <row r="206" spans="2:24" ht="15" customHeight="1">
      <c r="B206" s="37" t="s">
        <v>44</v>
      </c>
      <c r="C206" s="139"/>
      <c r="D206" s="10"/>
      <c r="E206" s="10"/>
      <c r="F206" s="10"/>
      <c r="G206" s="10"/>
      <c r="H206" s="10"/>
      <c r="I206" s="33"/>
      <c r="N206"/>
      <c r="O206"/>
      <c r="P206"/>
      <c r="Q206"/>
    </row>
    <row r="207" spans="2:24" ht="15" customHeight="1">
      <c r="B207" s="37"/>
      <c r="C207" s="139"/>
      <c r="D207" s="10"/>
      <c r="E207" s="10"/>
      <c r="F207" s="10"/>
      <c r="G207" s="10"/>
      <c r="H207" s="10"/>
      <c r="I207" s="33"/>
      <c r="N207"/>
      <c r="O207"/>
      <c r="P207"/>
      <c r="Q207"/>
    </row>
    <row r="208" spans="2:24" ht="15" customHeight="1">
      <c r="B208" s="9"/>
      <c r="C208" s="139"/>
      <c r="D208" s="10"/>
      <c r="E208" s="10"/>
      <c r="F208" s="10"/>
      <c r="G208" s="10"/>
      <c r="H208" s="10"/>
      <c r="I208" s="33"/>
      <c r="N208"/>
      <c r="O208"/>
      <c r="P208"/>
      <c r="Q208"/>
    </row>
    <row r="209" spans="2:19" ht="15" customHeight="1">
      <c r="B209" s="9"/>
      <c r="C209" s="139"/>
      <c r="D209" s="10"/>
      <c r="E209" s="10"/>
      <c r="F209" s="10"/>
      <c r="G209" s="10"/>
      <c r="H209" s="10"/>
      <c r="I209" s="33"/>
      <c r="N209"/>
      <c r="O209"/>
      <c r="P209"/>
      <c r="Q209"/>
    </row>
    <row r="210" spans="2:19" ht="15" customHeight="1">
      <c r="B210" s="9"/>
      <c r="C210" s="139"/>
      <c r="D210" s="10"/>
      <c r="E210" s="10"/>
      <c r="F210" s="10"/>
      <c r="G210" s="10"/>
      <c r="H210" s="10"/>
      <c r="I210" s="33"/>
      <c r="N210"/>
      <c r="O210"/>
      <c r="P210"/>
      <c r="Q210"/>
    </row>
    <row r="211" spans="2:19" ht="15" customHeight="1">
      <c r="B211" s="9"/>
      <c r="C211" s="139"/>
      <c r="D211" s="10"/>
      <c r="E211" s="10"/>
      <c r="F211" s="10"/>
      <c r="G211" s="10"/>
      <c r="H211" s="10"/>
      <c r="I211" s="33"/>
      <c r="N211"/>
      <c r="O211"/>
      <c r="P211"/>
      <c r="Q211"/>
    </row>
    <row r="212" spans="2:19" ht="15" customHeight="1" thickBot="1">
      <c r="B212" s="34"/>
      <c r="C212" s="145"/>
      <c r="D212" s="35"/>
      <c r="E212" s="35"/>
      <c r="F212" s="35"/>
      <c r="G212" s="35"/>
      <c r="H212" s="35"/>
      <c r="I212" s="36"/>
      <c r="N212"/>
      <c r="O212"/>
      <c r="P212"/>
      <c r="Q212"/>
    </row>
    <row r="213" spans="2:19" ht="15" customHeight="1" thickBot="1">
      <c r="B213" s="222" t="s">
        <v>652</v>
      </c>
      <c r="C213" s="223"/>
      <c r="D213" s="224"/>
      <c r="E213" s="225" t="s">
        <v>14</v>
      </c>
      <c r="F213" s="226"/>
      <c r="G213" s="226"/>
      <c r="H213" s="226"/>
      <c r="I213" s="227"/>
      <c r="N213"/>
      <c r="O213"/>
      <c r="P213"/>
      <c r="Q213"/>
    </row>
    <row r="214" spans="2:19" ht="15" customHeight="1">
      <c r="B214" s="238" t="s">
        <v>15</v>
      </c>
      <c r="C214" s="239"/>
      <c r="D214" s="38"/>
      <c r="E214" s="17" t="s">
        <v>15</v>
      </c>
      <c r="F214" s="240"/>
      <c r="G214" s="241"/>
      <c r="H214" s="241"/>
      <c r="I214" s="242"/>
      <c r="N214"/>
      <c r="O214"/>
      <c r="P214"/>
      <c r="Q214"/>
    </row>
    <row r="215" spans="2:19" ht="15" customHeight="1">
      <c r="B215" s="228" t="s">
        <v>9</v>
      </c>
      <c r="C215" s="229"/>
      <c r="D215" s="21"/>
      <c r="E215" s="18" t="s">
        <v>9</v>
      </c>
      <c r="F215" s="230"/>
      <c r="G215" s="231"/>
      <c r="H215" s="231"/>
      <c r="I215" s="232"/>
      <c r="N215"/>
      <c r="O215"/>
      <c r="P215"/>
      <c r="Q215"/>
    </row>
    <row r="216" spans="2:19" ht="75" customHeight="1" thickBot="1">
      <c r="B216" s="233" t="s">
        <v>16</v>
      </c>
      <c r="C216" s="234"/>
      <c r="D216" s="19"/>
      <c r="E216" s="39" t="s">
        <v>16</v>
      </c>
      <c r="F216" s="235"/>
      <c r="G216" s="236"/>
      <c r="H216" s="236"/>
      <c r="I216" s="237"/>
      <c r="N216"/>
      <c r="O216"/>
      <c r="P216"/>
      <c r="Q216"/>
    </row>
    <row r="223" spans="2:19" ht="16">
      <c r="P223" s="98"/>
      <c r="Q223" s="98"/>
      <c r="R223" s="98"/>
      <c r="S223" s="202"/>
    </row>
    <row r="224" spans="2:19" ht="16">
      <c r="P224" s="101"/>
      <c r="Q224" s="101"/>
      <c r="R224" s="173"/>
      <c r="S224" s="203"/>
    </row>
    <row r="225" spans="16:19" ht="16">
      <c r="P225" s="101"/>
      <c r="Q225" s="101"/>
      <c r="R225" s="102"/>
      <c r="S225" s="203"/>
    </row>
    <row r="226" spans="16:19" ht="16">
      <c r="P226" s="98"/>
      <c r="Q226" s="98"/>
      <c r="R226" s="104"/>
      <c r="S226" s="202"/>
    </row>
    <row r="227" spans="16:19" ht="16">
      <c r="P227" s="105"/>
      <c r="Q227" s="105"/>
      <c r="R227" s="102"/>
      <c r="S227" s="204"/>
    </row>
    <row r="228" spans="16:19" ht="16">
      <c r="P228" s="98"/>
      <c r="Q228" s="98"/>
      <c r="R228" s="104"/>
      <c r="S228" s="202"/>
    </row>
    <row r="229" spans="16:19" ht="16">
      <c r="P229" s="101"/>
      <c r="Q229" s="101"/>
      <c r="R229" s="102"/>
      <c r="S229" s="203"/>
    </row>
    <row r="230" spans="16:19" ht="16">
      <c r="P230" s="98"/>
      <c r="Q230" s="107"/>
      <c r="R230" s="108"/>
      <c r="S230" s="202"/>
    </row>
  </sheetData>
  <mergeCells count="11">
    <mergeCell ref="B215:C215"/>
    <mergeCell ref="F215:I215"/>
    <mergeCell ref="B216:C216"/>
    <mergeCell ref="F216:I216"/>
    <mergeCell ref="B214:C214"/>
    <mergeCell ref="F214:I214"/>
    <mergeCell ref="B4:I4"/>
    <mergeCell ref="B5:I5"/>
    <mergeCell ref="C12:D12"/>
    <mergeCell ref="B213:D213"/>
    <mergeCell ref="E213:I21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scale="62" fitToHeight="0" orientation="portrait" horizontalDpi="4294967293" r:id="rId1"/>
  <rowBreaks count="2" manualBreakCount="2">
    <brk id="79" max="9" man="1"/>
    <brk id="153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310E-2A8D-4B63-9A9B-0100DFCF4090}">
  <sheetPr>
    <pageSetUpPr fitToPage="1"/>
  </sheetPr>
  <dimension ref="B1:N60"/>
  <sheetViews>
    <sheetView showGridLines="0" view="pageBreakPreview" zoomScale="90" zoomScaleNormal="70" zoomScaleSheetLayoutView="90" workbookViewId="0">
      <selection activeCell="O63" sqref="O62:O63"/>
    </sheetView>
  </sheetViews>
  <sheetFormatPr baseColWidth="10" defaultColWidth="11.5" defaultRowHeight="15"/>
  <cols>
    <col min="1" max="1" width="4.5" bestFit="1" customWidth="1"/>
    <col min="2" max="2" width="11.83203125" customWidth="1"/>
    <col min="3" max="3" width="13.33203125" style="135" customWidth="1"/>
    <col min="4" max="4" width="45.6640625" customWidth="1"/>
    <col min="5" max="5" width="20.6640625" customWidth="1"/>
    <col min="6" max="6" width="7.6640625" style="3" customWidth="1"/>
    <col min="7" max="7" width="12.6640625" style="4" bestFit="1" customWidth="1"/>
    <col min="8" max="8" width="13.83203125" style="4" customWidth="1"/>
    <col min="9" max="9" width="15.33203125" style="4" bestFit="1" customWidth="1"/>
    <col min="10" max="11" width="3.6640625" customWidth="1"/>
    <col min="12" max="12" width="7.6640625" customWidth="1"/>
  </cols>
  <sheetData>
    <row r="1" spans="2:12" ht="15" customHeight="1" thickBot="1"/>
    <row r="2" spans="2:12" ht="15" customHeight="1">
      <c r="B2" s="27"/>
      <c r="C2" s="136"/>
      <c r="D2" s="28"/>
      <c r="E2" s="28"/>
      <c r="F2" s="1"/>
      <c r="G2" s="2"/>
      <c r="H2" s="115" t="s">
        <v>0</v>
      </c>
      <c r="I2" s="116">
        <f>'01.- Presupuesto'!I2</f>
        <v>45847</v>
      </c>
    </row>
    <row r="3" spans="2:12" ht="15" customHeight="1">
      <c r="B3" s="29"/>
      <c r="C3" s="137"/>
      <c r="D3" s="30"/>
      <c r="E3" s="30"/>
      <c r="H3" s="117" t="s">
        <v>1</v>
      </c>
      <c r="I3" s="118">
        <v>0</v>
      </c>
    </row>
    <row r="4" spans="2:12" ht="15" customHeight="1">
      <c r="B4" s="244" t="s">
        <v>680</v>
      </c>
      <c r="C4" s="245"/>
      <c r="D4" s="245"/>
      <c r="E4" s="245"/>
      <c r="F4" s="245"/>
      <c r="G4" s="245"/>
      <c r="H4" s="245"/>
      <c r="I4" s="246"/>
    </row>
    <row r="5" spans="2:12" ht="15" customHeight="1">
      <c r="B5" s="247" t="str">
        <f>'01.- Presupuesto'!B5</f>
        <v>OBRAS CIVILES CENTRAL LOICA</v>
      </c>
      <c r="C5" s="248"/>
      <c r="D5" s="248"/>
      <c r="E5" s="248"/>
      <c r="F5" s="248"/>
      <c r="G5" s="248"/>
      <c r="H5" s="248"/>
      <c r="I5" s="249"/>
    </row>
    <row r="6" spans="2:12" ht="15" customHeight="1">
      <c r="B6" s="5"/>
      <c r="C6" s="138"/>
      <c r="D6" s="6"/>
      <c r="E6" s="6"/>
      <c r="F6" s="6"/>
      <c r="G6" s="6"/>
      <c r="H6" s="6"/>
      <c r="I6" s="7"/>
    </row>
    <row r="7" spans="2:12" ht="15" customHeight="1">
      <c r="B7" s="31"/>
      <c r="C7" s="114" t="s">
        <v>10</v>
      </c>
      <c r="D7" s="214" t="s">
        <v>655</v>
      </c>
      <c r="E7" s="32"/>
      <c r="F7" s="6"/>
      <c r="G7" s="6"/>
      <c r="H7" s="6"/>
      <c r="I7" s="7"/>
    </row>
    <row r="8" spans="2:12" ht="15" customHeight="1">
      <c r="B8" s="31"/>
      <c r="C8" s="114" t="s">
        <v>11</v>
      </c>
      <c r="D8" s="214" t="s">
        <v>653</v>
      </c>
      <c r="E8" s="32"/>
      <c r="F8" s="6"/>
      <c r="G8" s="6"/>
      <c r="H8" s="8"/>
      <c r="I8" s="20"/>
    </row>
    <row r="9" spans="2:12" ht="15" customHeight="1">
      <c r="B9" s="31"/>
      <c r="C9" s="114" t="s">
        <v>13</v>
      </c>
      <c r="D9" s="214" t="s">
        <v>654</v>
      </c>
      <c r="E9" s="32"/>
      <c r="F9" s="6"/>
      <c r="G9" s="6"/>
      <c r="H9" s="8"/>
      <c r="I9" s="7"/>
    </row>
    <row r="10" spans="2:12" ht="15" customHeight="1">
      <c r="B10" s="31"/>
      <c r="C10" s="114" t="s">
        <v>12</v>
      </c>
      <c r="D10" s="214" t="s">
        <v>50</v>
      </c>
      <c r="E10" s="32"/>
      <c r="F10" s="11"/>
      <c r="G10" s="12"/>
      <c r="H10" s="12"/>
      <c r="I10" s="13"/>
    </row>
    <row r="11" spans="2:12" ht="15" customHeight="1" thickBot="1">
      <c r="B11" s="9"/>
      <c r="C11" s="139"/>
      <c r="D11" s="10"/>
      <c r="E11" s="10"/>
      <c r="F11" s="11"/>
      <c r="G11" s="12"/>
      <c r="H11" s="12"/>
      <c r="I11" s="13"/>
      <c r="J11" s="14"/>
      <c r="K11" s="14"/>
    </row>
    <row r="12" spans="2:12" s="15" customFormat="1" ht="15" customHeight="1" thickBot="1">
      <c r="B12" s="22" t="s">
        <v>2</v>
      </c>
      <c r="C12" s="221" t="s">
        <v>3</v>
      </c>
      <c r="D12" s="221"/>
      <c r="E12" s="23"/>
      <c r="F12" s="23" t="s">
        <v>4</v>
      </c>
      <c r="G12" s="24" t="s">
        <v>5</v>
      </c>
      <c r="H12" s="25" t="s">
        <v>6</v>
      </c>
      <c r="I12" s="26" t="s">
        <v>7</v>
      </c>
    </row>
    <row r="13" spans="2:12" ht="15" customHeight="1">
      <c r="B13" s="78"/>
      <c r="C13" s="140"/>
      <c r="D13" s="79"/>
      <c r="E13" s="79"/>
      <c r="F13" s="80"/>
      <c r="G13" s="81"/>
      <c r="H13" s="82"/>
      <c r="I13" s="83"/>
    </row>
    <row r="14" spans="2:12" ht="15" customHeight="1">
      <c r="B14" s="84"/>
      <c r="C14" s="141" t="s">
        <v>607</v>
      </c>
      <c r="D14" s="85"/>
      <c r="E14" s="85"/>
      <c r="F14" s="86"/>
      <c r="G14" s="87"/>
      <c r="H14" s="88"/>
      <c r="I14" s="89">
        <f>SUM(I15:I22)</f>
        <v>51620000</v>
      </c>
      <c r="L14" s="77"/>
    </row>
    <row r="15" spans="2:12" ht="15" customHeight="1">
      <c r="B15" s="90" t="s">
        <v>17</v>
      </c>
      <c r="C15" s="142" t="s">
        <v>664</v>
      </c>
      <c r="D15" s="91"/>
      <c r="E15" s="91"/>
      <c r="F15" s="92" t="s">
        <v>643</v>
      </c>
      <c r="G15" s="129">
        <v>3</v>
      </c>
      <c r="H15" s="94">
        <f>(6500000*1.45)/3</f>
        <v>3141666.6666666665</v>
      </c>
      <c r="I15" s="95">
        <f>IF(G15="","",G15*H15)</f>
        <v>9425000</v>
      </c>
    </row>
    <row r="16" spans="2:12" ht="15" customHeight="1">
      <c r="B16" s="90" t="s">
        <v>629</v>
      </c>
      <c r="C16" s="142" t="s">
        <v>605</v>
      </c>
      <c r="D16" s="91"/>
      <c r="E16" s="91"/>
      <c r="F16" s="92" t="s">
        <v>643</v>
      </c>
      <c r="G16" s="129">
        <v>3</v>
      </c>
      <c r="H16" s="94">
        <f>3000000*1.45</f>
        <v>4350000</v>
      </c>
      <c r="I16" s="95">
        <f t="shared" ref="I16:I21" si="0">IF(G16="","",G16*H16)</f>
        <v>13050000</v>
      </c>
    </row>
    <row r="17" spans="2:12" ht="15" customHeight="1">
      <c r="B17" s="90" t="s">
        <v>630</v>
      </c>
      <c r="C17" s="142" t="s">
        <v>665</v>
      </c>
      <c r="D17" s="91"/>
      <c r="E17" s="91"/>
      <c r="F17" s="92" t="s">
        <v>643</v>
      </c>
      <c r="G17" s="129">
        <v>3</v>
      </c>
      <c r="H17" s="94">
        <f>2000000*1.45</f>
        <v>2900000</v>
      </c>
      <c r="I17" s="95">
        <f t="shared" si="0"/>
        <v>8700000</v>
      </c>
    </row>
    <row r="18" spans="2:12" ht="15" customHeight="1">
      <c r="B18" s="90" t="s">
        <v>631</v>
      </c>
      <c r="C18" s="142" t="s">
        <v>666</v>
      </c>
      <c r="D18" s="91"/>
      <c r="E18" s="91"/>
      <c r="F18" s="92" t="s">
        <v>643</v>
      </c>
      <c r="G18" s="129">
        <v>3</v>
      </c>
      <c r="H18" s="94">
        <f>1500000*1.45</f>
        <v>2175000</v>
      </c>
      <c r="I18" s="95">
        <f t="shared" si="0"/>
        <v>6525000</v>
      </c>
    </row>
    <row r="19" spans="2:12" ht="15" customHeight="1">
      <c r="B19" s="90" t="s">
        <v>632</v>
      </c>
      <c r="C19" s="142" t="s">
        <v>667</v>
      </c>
      <c r="D19" s="91"/>
      <c r="E19" s="91"/>
      <c r="F19" s="210" t="s">
        <v>643</v>
      </c>
      <c r="G19" s="129">
        <v>3</v>
      </c>
      <c r="H19" s="94">
        <f>1200000*1.45</f>
        <v>1740000</v>
      </c>
      <c r="I19" s="95">
        <f t="shared" si="0"/>
        <v>5220000</v>
      </c>
    </row>
    <row r="20" spans="2:12" ht="15" customHeight="1">
      <c r="B20" s="90" t="s">
        <v>669</v>
      </c>
      <c r="C20" s="142" t="s">
        <v>668</v>
      </c>
      <c r="D20" s="91"/>
      <c r="E20" s="91"/>
      <c r="F20" s="210" t="s">
        <v>643</v>
      </c>
      <c r="G20" s="129">
        <v>3</v>
      </c>
      <c r="H20" s="94">
        <f>800000*1.45</f>
        <v>1160000</v>
      </c>
      <c r="I20" s="95">
        <f t="shared" si="0"/>
        <v>3480000</v>
      </c>
    </row>
    <row r="21" spans="2:12" ht="15" customHeight="1">
      <c r="B21" s="90" t="s">
        <v>670</v>
      </c>
      <c r="C21" s="142" t="s">
        <v>671</v>
      </c>
      <c r="D21" s="91"/>
      <c r="E21" s="91"/>
      <c r="F21" s="92" t="s">
        <v>643</v>
      </c>
      <c r="G21" s="129">
        <v>3</v>
      </c>
      <c r="H21" s="94">
        <f>1200000*1.45</f>
        <v>1740000</v>
      </c>
      <c r="I21" s="95">
        <f t="shared" si="0"/>
        <v>5220000</v>
      </c>
    </row>
    <row r="22" spans="2:12" ht="15" customHeight="1">
      <c r="B22" s="90"/>
      <c r="C22" s="142"/>
      <c r="D22" s="91"/>
      <c r="E22" s="91"/>
      <c r="F22" s="92"/>
      <c r="G22" s="129"/>
      <c r="H22" s="96"/>
      <c r="I22" s="95" t="str">
        <f t="shared" ref="I22" si="1">IF(G22="","",G22*H22)</f>
        <v/>
      </c>
      <c r="K22" s="77"/>
      <c r="L22" s="77"/>
    </row>
    <row r="23" spans="2:12" ht="15" customHeight="1">
      <c r="B23" s="84"/>
      <c r="C23" s="141" t="s">
        <v>606</v>
      </c>
      <c r="D23" s="85"/>
      <c r="E23" s="85"/>
      <c r="F23" s="86"/>
      <c r="G23" s="130"/>
      <c r="H23" s="88"/>
      <c r="I23" s="89">
        <f>SUM(I24:I33)</f>
        <v>45892500</v>
      </c>
    </row>
    <row r="24" spans="2:12" ht="15" customHeight="1">
      <c r="B24" s="90" t="s">
        <v>19</v>
      </c>
      <c r="C24" s="142" t="s">
        <v>608</v>
      </c>
      <c r="D24" s="91"/>
      <c r="E24" s="91"/>
      <c r="F24" s="92" t="s">
        <v>643</v>
      </c>
      <c r="G24" s="129">
        <v>3</v>
      </c>
      <c r="H24" s="94">
        <f>1200000*1.45</f>
        <v>1740000</v>
      </c>
      <c r="I24" s="95">
        <f>IF(G24="","",G24*H24)</f>
        <v>5220000</v>
      </c>
    </row>
    <row r="25" spans="2:12" ht="15" customHeight="1">
      <c r="B25" s="90" t="s">
        <v>86</v>
      </c>
      <c r="C25" s="142" t="s">
        <v>659</v>
      </c>
      <c r="D25" s="91"/>
      <c r="E25" s="91"/>
      <c r="F25" s="210" t="s">
        <v>643</v>
      </c>
      <c r="G25" s="129">
        <v>3</v>
      </c>
      <c r="H25" s="94">
        <f>1200000*1.45</f>
        <v>1740000</v>
      </c>
      <c r="I25" s="95">
        <f t="shared" ref="I25:I32" si="2">IF(G25="","",G25*H25)</f>
        <v>5220000</v>
      </c>
    </row>
    <row r="26" spans="2:12" ht="15" customHeight="1">
      <c r="B26" s="90" t="s">
        <v>53</v>
      </c>
      <c r="C26" s="142" t="s">
        <v>660</v>
      </c>
      <c r="D26" s="91"/>
      <c r="E26" s="91"/>
      <c r="F26" s="210" t="s">
        <v>643</v>
      </c>
      <c r="G26" s="129">
        <v>3</v>
      </c>
      <c r="H26" s="94">
        <f>700000*1.45</f>
        <v>1015000</v>
      </c>
      <c r="I26" s="95">
        <f t="shared" si="2"/>
        <v>3045000</v>
      </c>
    </row>
    <row r="27" spans="2:12" ht="15" customHeight="1">
      <c r="B27" s="90" t="s">
        <v>97</v>
      </c>
      <c r="C27" s="142" t="s">
        <v>609</v>
      </c>
      <c r="D27" s="91"/>
      <c r="E27" s="91"/>
      <c r="F27" s="92" t="s">
        <v>643</v>
      </c>
      <c r="G27" s="129">
        <v>3</v>
      </c>
      <c r="H27" s="94">
        <f>1600000*1.45</f>
        <v>2320000</v>
      </c>
      <c r="I27" s="95">
        <f t="shared" si="2"/>
        <v>6960000</v>
      </c>
    </row>
    <row r="28" spans="2:12" ht="15" customHeight="1">
      <c r="B28" s="90" t="s">
        <v>633</v>
      </c>
      <c r="C28" s="142" t="s">
        <v>678</v>
      </c>
      <c r="D28" s="91"/>
      <c r="E28" s="91"/>
      <c r="F28" s="210" t="s">
        <v>643</v>
      </c>
      <c r="G28" s="129">
        <v>3</v>
      </c>
      <c r="H28" s="94">
        <f>1200000*1.45</f>
        <v>1740000</v>
      </c>
      <c r="I28" s="95">
        <f t="shared" si="2"/>
        <v>5220000</v>
      </c>
    </row>
    <row r="29" spans="2:12" ht="15" customHeight="1">
      <c r="B29" s="90" t="s">
        <v>657</v>
      </c>
      <c r="C29" s="142" t="s">
        <v>679</v>
      </c>
      <c r="D29" s="91"/>
      <c r="E29" s="91"/>
      <c r="F29" s="210" t="s">
        <v>643</v>
      </c>
      <c r="G29" s="129">
        <v>3</v>
      </c>
      <c r="H29" s="94">
        <f>1200000*1.45</f>
        <v>1740000</v>
      </c>
      <c r="I29" s="95">
        <f t="shared" si="2"/>
        <v>5220000</v>
      </c>
    </row>
    <row r="30" spans="2:12" ht="15" customHeight="1">
      <c r="B30" s="90" t="s">
        <v>658</v>
      </c>
      <c r="C30" s="142" t="s">
        <v>610</v>
      </c>
      <c r="D30" s="91"/>
      <c r="E30" s="91"/>
      <c r="F30" s="92" t="s">
        <v>643</v>
      </c>
      <c r="G30" s="129">
        <v>3</v>
      </c>
      <c r="H30" s="94">
        <f>1000000*1.45</f>
        <v>1450000</v>
      </c>
      <c r="I30" s="95">
        <f t="shared" si="2"/>
        <v>4350000</v>
      </c>
    </row>
    <row r="31" spans="2:12" ht="15" customHeight="1">
      <c r="B31" s="90" t="s">
        <v>676</v>
      </c>
      <c r="C31" s="142" t="s">
        <v>611</v>
      </c>
      <c r="D31" s="91"/>
      <c r="E31" s="91"/>
      <c r="F31" s="92" t="s">
        <v>643</v>
      </c>
      <c r="G31" s="129">
        <v>3</v>
      </c>
      <c r="H31" s="94">
        <f>700000*1.45</f>
        <v>1015000</v>
      </c>
      <c r="I31" s="95">
        <f t="shared" si="2"/>
        <v>3045000</v>
      </c>
    </row>
    <row r="32" spans="2:12" ht="15" customHeight="1">
      <c r="B32" s="90" t="s">
        <v>677</v>
      </c>
      <c r="C32" s="142" t="s">
        <v>661</v>
      </c>
      <c r="D32" s="91"/>
      <c r="E32" s="91"/>
      <c r="F32" s="92" t="s">
        <v>643</v>
      </c>
      <c r="G32" s="129">
        <v>3</v>
      </c>
      <c r="H32" s="94">
        <f>(700000*1.45)*2.5</f>
        <v>2537500</v>
      </c>
      <c r="I32" s="95">
        <f t="shared" si="2"/>
        <v>7612500</v>
      </c>
    </row>
    <row r="33" spans="2:11" ht="15" customHeight="1">
      <c r="B33" s="90"/>
      <c r="C33" s="142"/>
      <c r="D33" s="91"/>
      <c r="E33" s="91"/>
      <c r="F33" s="92"/>
      <c r="G33" s="129"/>
      <c r="H33" s="94"/>
      <c r="I33" s="95"/>
    </row>
    <row r="34" spans="2:11" ht="15" customHeight="1">
      <c r="B34" s="84"/>
      <c r="C34" s="141" t="s">
        <v>612</v>
      </c>
      <c r="D34" s="85"/>
      <c r="E34" s="85"/>
      <c r="F34" s="86"/>
      <c r="G34" s="130"/>
      <c r="H34" s="88"/>
      <c r="I34" s="89">
        <f>SUM(I35:I46)</f>
        <v>26700000</v>
      </c>
    </row>
    <row r="35" spans="2:11" ht="15" customHeight="1">
      <c r="B35" s="90" t="s">
        <v>51</v>
      </c>
      <c r="C35" s="142" t="s">
        <v>625</v>
      </c>
      <c r="D35" s="91"/>
      <c r="E35" s="91"/>
      <c r="F35" s="92" t="s">
        <v>643</v>
      </c>
      <c r="G35" s="129">
        <v>3</v>
      </c>
      <c r="H35" s="94">
        <f>300000*3</f>
        <v>900000</v>
      </c>
      <c r="I35" s="95">
        <f t="shared" ref="I35:I38" si="3">IF(G35="","",G35*H35)</f>
        <v>2700000</v>
      </c>
      <c r="J35" s="16"/>
      <c r="K35" s="16"/>
    </row>
    <row r="36" spans="2:11" ht="15" customHeight="1">
      <c r="B36" s="90" t="s">
        <v>52</v>
      </c>
      <c r="C36" s="142" t="s">
        <v>626</v>
      </c>
      <c r="D36" s="91"/>
      <c r="E36" s="91"/>
      <c r="F36" s="92" t="s">
        <v>643</v>
      </c>
      <c r="G36" s="129">
        <v>3</v>
      </c>
      <c r="H36" s="94">
        <f>350000*2</f>
        <v>700000</v>
      </c>
      <c r="I36" s="95">
        <f t="shared" si="3"/>
        <v>2100000</v>
      </c>
      <c r="J36" s="16"/>
      <c r="K36" s="16"/>
    </row>
    <row r="37" spans="2:11" ht="15" customHeight="1">
      <c r="B37" s="90" t="s">
        <v>77</v>
      </c>
      <c r="C37" s="142" t="s">
        <v>627</v>
      </c>
      <c r="D37" s="91"/>
      <c r="E37" s="91"/>
      <c r="F37" s="92" t="s">
        <v>643</v>
      </c>
      <c r="G37" s="129">
        <v>3</v>
      </c>
      <c r="H37" s="94">
        <f>200000*2</f>
        <v>400000</v>
      </c>
      <c r="I37" s="95">
        <f t="shared" ref="I37" si="4">IF(G37="","",G37*H37)</f>
        <v>1200000</v>
      </c>
      <c r="J37" s="16"/>
      <c r="K37" s="16"/>
    </row>
    <row r="38" spans="2:11" ht="15" customHeight="1">
      <c r="B38" s="90" t="s">
        <v>78</v>
      </c>
      <c r="C38" s="142" t="s">
        <v>628</v>
      </c>
      <c r="D38" s="91"/>
      <c r="E38" s="91"/>
      <c r="F38" s="92" t="s">
        <v>643</v>
      </c>
      <c r="G38" s="129">
        <v>3</v>
      </c>
      <c r="H38" s="94">
        <f>200000*2</f>
        <v>400000</v>
      </c>
      <c r="I38" s="95">
        <f t="shared" si="3"/>
        <v>1200000</v>
      </c>
      <c r="J38" s="16"/>
      <c r="K38" s="16"/>
    </row>
    <row r="39" spans="2:11" ht="15" customHeight="1">
      <c r="B39" s="90" t="s">
        <v>79</v>
      </c>
      <c r="C39" s="142" t="s">
        <v>644</v>
      </c>
      <c r="D39" s="91"/>
      <c r="E39" s="91"/>
      <c r="F39" s="92" t="s">
        <v>76</v>
      </c>
      <c r="G39" s="129">
        <f>9*2</f>
        <v>18</v>
      </c>
      <c r="H39" s="94">
        <v>150000</v>
      </c>
      <c r="I39" s="95">
        <f t="shared" ref="I39" si="5">IF(G39="","",G39*H39)</f>
        <v>2700000</v>
      </c>
      <c r="J39" s="16"/>
      <c r="K39" s="16"/>
    </row>
    <row r="40" spans="2:11" ht="15" customHeight="1">
      <c r="B40" s="90" t="s">
        <v>634</v>
      </c>
      <c r="C40" s="142" t="s">
        <v>613</v>
      </c>
      <c r="D40" s="91"/>
      <c r="E40" s="91"/>
      <c r="F40" s="92" t="s">
        <v>58</v>
      </c>
      <c r="G40" s="129">
        <v>1</v>
      </c>
      <c r="H40" s="94">
        <v>3000000</v>
      </c>
      <c r="I40" s="95">
        <f t="shared" ref="I40:I43" si="6">IF(G40="","",G40*H40)</f>
        <v>3000000</v>
      </c>
      <c r="J40" s="16"/>
      <c r="K40" s="16"/>
    </row>
    <row r="41" spans="2:11" ht="15" customHeight="1">
      <c r="B41" s="90" t="s">
        <v>635</v>
      </c>
      <c r="C41" s="142" t="s">
        <v>614</v>
      </c>
      <c r="D41" s="91"/>
      <c r="E41" s="91"/>
      <c r="F41" s="92" t="s">
        <v>58</v>
      </c>
      <c r="G41" s="129">
        <v>1</v>
      </c>
      <c r="H41" s="94">
        <v>1200000</v>
      </c>
      <c r="I41" s="95">
        <f t="shared" si="6"/>
        <v>1200000</v>
      </c>
      <c r="J41" s="16"/>
      <c r="K41" s="16"/>
    </row>
    <row r="42" spans="2:11" ht="15" customHeight="1">
      <c r="B42" s="90" t="s">
        <v>636</v>
      </c>
      <c r="C42" s="142" t="s">
        <v>615</v>
      </c>
      <c r="D42" s="91"/>
      <c r="E42" s="91"/>
      <c r="F42" s="92" t="s">
        <v>58</v>
      </c>
      <c r="G42" s="129">
        <v>1</v>
      </c>
      <c r="H42" s="94">
        <v>1200000</v>
      </c>
      <c r="I42" s="95">
        <f t="shared" si="6"/>
        <v>1200000</v>
      </c>
      <c r="J42" s="16"/>
      <c r="K42" s="16"/>
    </row>
    <row r="43" spans="2:11" ht="15" customHeight="1">
      <c r="B43" s="90" t="s">
        <v>637</v>
      </c>
      <c r="C43" s="142" t="s">
        <v>673</v>
      </c>
      <c r="D43" s="91"/>
      <c r="E43" s="91"/>
      <c r="F43" s="210" t="s">
        <v>643</v>
      </c>
      <c r="G43" s="129">
        <v>3</v>
      </c>
      <c r="H43" s="94">
        <v>2000000</v>
      </c>
      <c r="I43" s="95">
        <f t="shared" si="6"/>
        <v>6000000</v>
      </c>
      <c r="J43" s="16"/>
      <c r="K43" s="16"/>
    </row>
    <row r="44" spans="2:11" ht="15" customHeight="1">
      <c r="B44" s="90" t="s">
        <v>638</v>
      </c>
      <c r="C44" s="142" t="s">
        <v>616</v>
      </c>
      <c r="D44" s="91"/>
      <c r="E44" s="91"/>
      <c r="F44" s="92" t="s">
        <v>643</v>
      </c>
      <c r="G44" s="129">
        <v>3</v>
      </c>
      <c r="H44" s="94">
        <f>200000*4</f>
        <v>800000</v>
      </c>
      <c r="I44" s="95">
        <f t="shared" ref="I44:I45" si="7">IF(G44="","",G44*H44)</f>
        <v>2400000</v>
      </c>
      <c r="J44" s="16"/>
      <c r="K44" s="16"/>
    </row>
    <row r="45" spans="2:11" ht="15" customHeight="1">
      <c r="B45" s="90" t="s">
        <v>645</v>
      </c>
      <c r="C45" s="142" t="s">
        <v>617</v>
      </c>
      <c r="D45" s="91"/>
      <c r="E45" s="91"/>
      <c r="F45" s="92" t="s">
        <v>58</v>
      </c>
      <c r="G45" s="129">
        <v>1</v>
      </c>
      <c r="H45" s="94">
        <v>3000000</v>
      </c>
      <c r="I45" s="95">
        <f t="shared" si="7"/>
        <v>3000000</v>
      </c>
      <c r="J45" s="16"/>
      <c r="K45" s="16"/>
    </row>
    <row r="46" spans="2:11" ht="15" customHeight="1">
      <c r="B46" s="90"/>
      <c r="C46" s="142"/>
      <c r="D46" s="91"/>
      <c r="E46" s="91"/>
      <c r="F46" s="92"/>
      <c r="G46" s="129"/>
      <c r="H46" s="94"/>
      <c r="I46" s="95"/>
      <c r="J46" s="16"/>
      <c r="K46" s="16"/>
    </row>
    <row r="47" spans="2:11" ht="15" customHeight="1">
      <c r="B47" s="84"/>
      <c r="C47" s="141" t="s">
        <v>618</v>
      </c>
      <c r="D47" s="85"/>
      <c r="E47" s="85"/>
      <c r="F47" s="86"/>
      <c r="G47" s="130"/>
      <c r="H47" s="88"/>
      <c r="I47" s="89">
        <f>SUM(I48:I54)</f>
        <v>12600000</v>
      </c>
    </row>
    <row r="48" spans="2:11" ht="15" customHeight="1">
      <c r="B48" s="90" t="s">
        <v>59</v>
      </c>
      <c r="C48" s="142" t="s">
        <v>619</v>
      </c>
      <c r="D48" s="91"/>
      <c r="E48" s="91"/>
      <c r="F48" s="92" t="s">
        <v>643</v>
      </c>
      <c r="G48" s="129">
        <v>3</v>
      </c>
      <c r="H48" s="94">
        <v>500000</v>
      </c>
      <c r="I48" s="95">
        <f t="shared" ref="I48:I52" si="8">IF(G48="","",G48*H48)</f>
        <v>1500000</v>
      </c>
    </row>
    <row r="49" spans="2:14" ht="15" customHeight="1">
      <c r="B49" s="90" t="s">
        <v>60</v>
      </c>
      <c r="C49" s="142" t="s">
        <v>620</v>
      </c>
      <c r="D49" s="91"/>
      <c r="E49" s="91"/>
      <c r="F49" s="92" t="s">
        <v>643</v>
      </c>
      <c r="G49" s="129">
        <v>3</v>
      </c>
      <c r="H49" s="94">
        <v>500000</v>
      </c>
      <c r="I49" s="95">
        <f t="shared" si="8"/>
        <v>1500000</v>
      </c>
    </row>
    <row r="50" spans="2:14" ht="15" customHeight="1">
      <c r="B50" s="90" t="s">
        <v>639</v>
      </c>
      <c r="C50" s="142" t="s">
        <v>674</v>
      </c>
      <c r="D50" s="91"/>
      <c r="E50" s="91"/>
      <c r="F50" s="210" t="s">
        <v>643</v>
      </c>
      <c r="G50" s="129">
        <v>3</v>
      </c>
      <c r="H50" s="94">
        <v>1000000</v>
      </c>
      <c r="I50" s="95">
        <f t="shared" si="8"/>
        <v>3000000</v>
      </c>
    </row>
    <row r="51" spans="2:14" ht="15" customHeight="1">
      <c r="B51" s="90" t="s">
        <v>640</v>
      </c>
      <c r="C51" s="142" t="s">
        <v>621</v>
      </c>
      <c r="D51" s="91"/>
      <c r="E51" s="91"/>
      <c r="F51" s="92" t="s">
        <v>643</v>
      </c>
      <c r="G51" s="129">
        <v>3</v>
      </c>
      <c r="H51" s="94">
        <v>1000000</v>
      </c>
      <c r="I51" s="95">
        <f t="shared" si="8"/>
        <v>3000000</v>
      </c>
    </row>
    <row r="52" spans="2:14" ht="15" customHeight="1">
      <c r="B52" s="90" t="s">
        <v>641</v>
      </c>
      <c r="C52" s="142" t="s">
        <v>622</v>
      </c>
      <c r="D52" s="91"/>
      <c r="E52" s="91"/>
      <c r="F52" s="92" t="s">
        <v>643</v>
      </c>
      <c r="G52" s="129">
        <v>3</v>
      </c>
      <c r="H52" s="94">
        <v>500000</v>
      </c>
      <c r="I52" s="95">
        <f t="shared" si="8"/>
        <v>1500000</v>
      </c>
    </row>
    <row r="53" spans="2:14" ht="15" customHeight="1">
      <c r="B53" s="90" t="s">
        <v>642</v>
      </c>
      <c r="C53" s="142" t="s">
        <v>623</v>
      </c>
      <c r="D53" s="91"/>
      <c r="E53" s="91"/>
      <c r="F53" s="92" t="s">
        <v>643</v>
      </c>
      <c r="G53" s="129">
        <v>3</v>
      </c>
      <c r="H53" s="94">
        <v>200000</v>
      </c>
      <c r="I53" s="95">
        <f>IF(G53="","",G53*H53)</f>
        <v>600000</v>
      </c>
    </row>
    <row r="54" spans="2:14" ht="15" customHeight="1">
      <c r="B54" s="90" t="s">
        <v>662</v>
      </c>
      <c r="C54" s="142" t="s">
        <v>624</v>
      </c>
      <c r="D54" s="91"/>
      <c r="E54" s="91"/>
      <c r="F54" s="92" t="s">
        <v>643</v>
      </c>
      <c r="G54" s="129">
        <v>3</v>
      </c>
      <c r="H54" s="94">
        <v>500000</v>
      </c>
      <c r="I54" s="95">
        <f>IF(G54="","",G54*H54)</f>
        <v>1500000</v>
      </c>
    </row>
    <row r="55" spans="2:14" ht="15" customHeight="1">
      <c r="B55" s="90" t="s">
        <v>675</v>
      </c>
      <c r="C55" s="142" t="s">
        <v>663</v>
      </c>
      <c r="D55" s="91"/>
      <c r="E55" s="91"/>
      <c r="F55" s="210" t="s">
        <v>58</v>
      </c>
      <c r="G55" s="129">
        <v>1</v>
      </c>
      <c r="H55" s="94">
        <f>750000000*0.01</f>
        <v>7500000</v>
      </c>
      <c r="I55" s="95">
        <f>IF(G55="","",G55*H55)</f>
        <v>7500000</v>
      </c>
    </row>
    <row r="56" spans="2:14" ht="15" customHeight="1">
      <c r="B56" s="90"/>
      <c r="C56" s="142"/>
      <c r="D56" s="91"/>
      <c r="E56" s="91"/>
      <c r="F56" s="92"/>
      <c r="G56" s="129"/>
      <c r="H56" s="94"/>
      <c r="I56" s="95"/>
    </row>
    <row r="57" spans="2:14" ht="15" customHeight="1">
      <c r="B57" s="90"/>
      <c r="C57" s="142"/>
      <c r="D57" s="91"/>
      <c r="E57" s="91"/>
      <c r="F57" s="92"/>
      <c r="G57" s="93"/>
      <c r="H57" s="96"/>
      <c r="I57" s="95"/>
      <c r="J57" s="16"/>
      <c r="K57" s="16"/>
    </row>
    <row r="58" spans="2:14" ht="15" customHeight="1">
      <c r="B58" s="90"/>
      <c r="C58" s="142"/>
      <c r="D58" s="91"/>
      <c r="E58" s="91"/>
      <c r="F58" s="92"/>
      <c r="G58" s="93"/>
      <c r="H58" s="96"/>
      <c r="I58" s="95" t="str">
        <f t="shared" ref="I58" si="9">IF(G58="","",G58*H58)</f>
        <v/>
      </c>
      <c r="J58" s="16"/>
      <c r="K58" s="16"/>
    </row>
    <row r="59" spans="2:14" ht="15" customHeight="1">
      <c r="B59" s="97"/>
      <c r="C59" s="142"/>
      <c r="D59" s="91"/>
      <c r="E59" s="92"/>
      <c r="F59" s="98" t="s">
        <v>20</v>
      </c>
      <c r="G59" s="98"/>
      <c r="H59" s="98"/>
      <c r="I59" s="99">
        <f>I14+I23+I34+I47</f>
        <v>136812500</v>
      </c>
      <c r="J59" s="16"/>
      <c r="K59" s="16"/>
      <c r="M59" s="212">
        <f>I59/39300/3</f>
        <v>1160.4113655640374</v>
      </c>
      <c r="N59" s="213" t="s">
        <v>672</v>
      </c>
    </row>
    <row r="60" spans="2:14" ht="15" customHeight="1" thickBot="1">
      <c r="B60" s="109"/>
      <c r="C60" s="143"/>
      <c r="D60" s="110"/>
      <c r="E60" s="110"/>
      <c r="F60" s="111"/>
      <c r="G60" s="112"/>
      <c r="H60" s="112"/>
      <c r="I60" s="113"/>
    </row>
  </sheetData>
  <mergeCells count="3">
    <mergeCell ref="B4:I4"/>
    <mergeCell ref="B5:I5"/>
    <mergeCell ref="C12:D12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scale="64" fitToHeight="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E5F5-5232-415F-BD61-2028B6864E6E}">
  <sheetPr>
    <pageSetUpPr fitToPage="1"/>
  </sheetPr>
  <dimension ref="A1:N181"/>
  <sheetViews>
    <sheetView topLeftCell="A2" zoomScale="71" workbookViewId="0">
      <selection activeCell="L60" sqref="L60"/>
    </sheetView>
  </sheetViews>
  <sheetFormatPr baseColWidth="10" defaultColWidth="8.83203125" defaultRowHeight="15"/>
  <cols>
    <col min="1" max="1" width="6.5" bestFit="1" customWidth="1"/>
    <col min="2" max="2" width="102.5" bestFit="1" customWidth="1"/>
    <col min="9" max="9" width="14.5" bestFit="1" customWidth="1"/>
  </cols>
  <sheetData>
    <row r="1" spans="1:9" ht="16" thickBot="1">
      <c r="C1" s="189" t="s">
        <v>5</v>
      </c>
      <c r="D1" s="190" t="s">
        <v>4</v>
      </c>
      <c r="E1" s="146"/>
    </row>
    <row r="3" spans="1:9" ht="16">
      <c r="A3" s="84"/>
      <c r="B3" s="141" t="s">
        <v>95</v>
      </c>
      <c r="C3" s="191"/>
      <c r="D3" s="147"/>
      <c r="E3" s="147"/>
    </row>
    <row r="4" spans="1:9" ht="16">
      <c r="A4" s="127">
        <v>1</v>
      </c>
      <c r="B4" s="128" t="s">
        <v>96</v>
      </c>
      <c r="C4" s="91"/>
      <c r="D4" s="92"/>
      <c r="E4" s="92"/>
      <c r="I4" s="122"/>
    </row>
    <row r="5" spans="1:9" ht="16">
      <c r="A5" s="90" t="s">
        <v>17</v>
      </c>
      <c r="B5" s="142" t="s">
        <v>96</v>
      </c>
      <c r="C5" s="91">
        <v>1</v>
      </c>
      <c r="D5" s="92" t="s">
        <v>58</v>
      </c>
      <c r="E5" s="92"/>
      <c r="F5" t="s">
        <v>347</v>
      </c>
    </row>
    <row r="6" spans="1:9" ht="16">
      <c r="A6" s="127">
        <v>2</v>
      </c>
      <c r="B6" s="128" t="s">
        <v>69</v>
      </c>
      <c r="C6" s="91"/>
      <c r="D6" s="92"/>
      <c r="E6" s="92"/>
    </row>
    <row r="7" spans="1:9" ht="16">
      <c r="A7" s="90" t="s">
        <v>19</v>
      </c>
      <c r="B7" s="142" t="s">
        <v>98</v>
      </c>
      <c r="C7" s="91">
        <v>890</v>
      </c>
      <c r="D7" s="92" t="s">
        <v>67</v>
      </c>
      <c r="E7" s="92"/>
      <c r="F7" s="122"/>
      <c r="G7" s="126"/>
    </row>
    <row r="8" spans="1:9" ht="16">
      <c r="A8" s="90" t="s">
        <v>86</v>
      </c>
      <c r="B8" s="142" t="s">
        <v>99</v>
      </c>
      <c r="C8" s="91">
        <v>400</v>
      </c>
      <c r="D8" s="92" t="s">
        <v>346</v>
      </c>
      <c r="E8" s="92"/>
      <c r="F8" s="122"/>
      <c r="G8" s="126"/>
    </row>
    <row r="9" spans="1:9" ht="16">
      <c r="A9" s="90" t="s">
        <v>53</v>
      </c>
      <c r="B9" s="142" t="s">
        <v>100</v>
      </c>
      <c r="C9" s="91">
        <v>754</v>
      </c>
      <c r="D9" s="92" t="s">
        <v>346</v>
      </c>
      <c r="E9" s="92"/>
      <c r="F9" s="122"/>
      <c r="G9" s="126"/>
    </row>
    <row r="10" spans="1:9" ht="16">
      <c r="A10" s="90" t="s">
        <v>97</v>
      </c>
      <c r="B10" s="142" t="s">
        <v>101</v>
      </c>
      <c r="C10" s="91">
        <v>1</v>
      </c>
      <c r="D10" s="92" t="s">
        <v>58</v>
      </c>
      <c r="E10" s="92"/>
      <c r="F10" s="122"/>
      <c r="G10" s="126"/>
    </row>
    <row r="11" spans="1:9" ht="16">
      <c r="A11" s="127">
        <v>3</v>
      </c>
      <c r="B11" s="128" t="s">
        <v>102</v>
      </c>
      <c r="C11" s="91"/>
      <c r="D11" s="92"/>
      <c r="E11" s="92"/>
      <c r="F11" s="122"/>
      <c r="G11" s="126"/>
    </row>
    <row r="12" spans="1:9" ht="16">
      <c r="A12" s="90" t="s">
        <v>51</v>
      </c>
      <c r="B12" s="142" t="s">
        <v>103</v>
      </c>
      <c r="C12" s="91">
        <v>760</v>
      </c>
      <c r="D12" s="92" t="s">
        <v>346</v>
      </c>
      <c r="E12" s="92"/>
      <c r="F12" s="122"/>
      <c r="G12" s="126"/>
    </row>
    <row r="13" spans="1:9" ht="16">
      <c r="A13" s="90" t="s">
        <v>52</v>
      </c>
      <c r="B13" s="142" t="s">
        <v>104</v>
      </c>
      <c r="C13" s="91">
        <f>180*5*0.26</f>
        <v>234</v>
      </c>
      <c r="D13" s="92" t="s">
        <v>67</v>
      </c>
      <c r="E13" s="92"/>
      <c r="F13" s="122"/>
      <c r="G13" s="126"/>
    </row>
    <row r="14" spans="1:9" ht="16">
      <c r="A14" s="90" t="s">
        <v>77</v>
      </c>
      <c r="B14" s="142" t="s">
        <v>105</v>
      </c>
      <c r="C14" s="91">
        <f>180*5*0.2</f>
        <v>180</v>
      </c>
      <c r="D14" s="92" t="s">
        <v>67</v>
      </c>
      <c r="E14" s="92"/>
      <c r="F14" s="122"/>
      <c r="G14" s="126"/>
    </row>
    <row r="15" spans="1:9" ht="16">
      <c r="A15" s="90" t="s">
        <v>78</v>
      </c>
      <c r="B15" s="142" t="s">
        <v>106</v>
      </c>
      <c r="C15" s="91">
        <f>180*5*0.3</f>
        <v>270</v>
      </c>
      <c r="D15" s="92" t="s">
        <v>67</v>
      </c>
      <c r="E15" s="92"/>
      <c r="F15" s="122"/>
      <c r="G15" s="126"/>
    </row>
    <row r="16" spans="1:9" ht="16">
      <c r="A16" s="90" t="s">
        <v>79</v>
      </c>
      <c r="B16" s="142" t="s">
        <v>107</v>
      </c>
      <c r="C16" s="91">
        <f>180*5</f>
        <v>900</v>
      </c>
      <c r="D16" s="92" t="s">
        <v>18</v>
      </c>
      <c r="E16" s="92"/>
      <c r="F16" s="122"/>
      <c r="G16" s="126"/>
    </row>
    <row r="17" spans="1:13" ht="16">
      <c r="A17" s="127">
        <v>4</v>
      </c>
      <c r="B17" s="128" t="s">
        <v>108</v>
      </c>
      <c r="C17" s="91"/>
      <c r="D17" s="92"/>
      <c r="E17" s="92"/>
      <c r="F17" s="122"/>
      <c r="G17" s="126"/>
    </row>
    <row r="18" spans="1:13" ht="16">
      <c r="A18" s="90" t="s">
        <v>59</v>
      </c>
      <c r="B18" s="142" t="s">
        <v>109</v>
      </c>
      <c r="C18" s="91">
        <v>6.3</v>
      </c>
      <c r="D18" s="92" t="s">
        <v>65</v>
      </c>
      <c r="E18" s="92"/>
      <c r="F18" s="122"/>
      <c r="G18" s="126"/>
    </row>
    <row r="19" spans="1:13" ht="16">
      <c r="A19" s="90" t="s">
        <v>60</v>
      </c>
      <c r="B19" s="142" t="s">
        <v>110</v>
      </c>
      <c r="C19" s="91">
        <v>1</v>
      </c>
      <c r="D19" s="92" t="s">
        <v>76</v>
      </c>
      <c r="E19" s="92"/>
      <c r="F19" s="122"/>
      <c r="G19" s="126"/>
    </row>
    <row r="20" spans="1:13" ht="16">
      <c r="A20" s="127">
        <v>5</v>
      </c>
      <c r="B20" s="128" t="s">
        <v>111</v>
      </c>
      <c r="C20" s="91"/>
      <c r="D20" s="92"/>
      <c r="E20" s="92"/>
      <c r="F20" s="122"/>
      <c r="G20" s="126"/>
    </row>
    <row r="21" spans="1:13" ht="16">
      <c r="A21" s="90" t="s">
        <v>61</v>
      </c>
      <c r="B21" s="142" t="s">
        <v>112</v>
      </c>
      <c r="C21" s="91">
        <v>50</v>
      </c>
      <c r="D21" s="92" t="s">
        <v>65</v>
      </c>
      <c r="E21" s="92"/>
      <c r="F21" s="169"/>
      <c r="G21" s="126"/>
    </row>
    <row r="22" spans="1:13" ht="16">
      <c r="A22" s="90" t="s">
        <v>62</v>
      </c>
      <c r="B22" s="142" t="s">
        <v>113</v>
      </c>
      <c r="C22" s="91">
        <v>280</v>
      </c>
      <c r="D22" s="92" t="s">
        <v>65</v>
      </c>
      <c r="E22" s="92"/>
      <c r="F22" s="169">
        <f>2.5*110+1+2.1+1.8</f>
        <v>279.90000000000003</v>
      </c>
      <c r="G22" s="126"/>
    </row>
    <row r="23" spans="1:13" ht="16">
      <c r="A23" s="90" t="s">
        <v>80</v>
      </c>
      <c r="B23" s="142" t="s">
        <v>115</v>
      </c>
      <c r="C23" s="91">
        <v>1</v>
      </c>
      <c r="D23" s="92" t="s">
        <v>76</v>
      </c>
      <c r="E23" s="92"/>
    </row>
    <row r="24" spans="1:13" ht="16">
      <c r="A24" s="90" t="s">
        <v>81</v>
      </c>
      <c r="B24" s="142" t="s">
        <v>114</v>
      </c>
      <c r="C24" s="91">
        <v>1</v>
      </c>
      <c r="D24" s="92" t="s">
        <v>76</v>
      </c>
      <c r="E24" s="92"/>
      <c r="G24" s="126"/>
    </row>
    <row r="25" spans="1:13" ht="16">
      <c r="A25" s="90"/>
      <c r="B25" s="142"/>
      <c r="C25" s="91"/>
      <c r="D25" s="92"/>
      <c r="E25" s="92"/>
    </row>
    <row r="26" spans="1:13" ht="16">
      <c r="A26" s="84"/>
      <c r="B26" s="141" t="s">
        <v>116</v>
      </c>
      <c r="C26" s="191"/>
      <c r="D26" s="147"/>
      <c r="E26" s="147"/>
    </row>
    <row r="27" spans="1:13" ht="16">
      <c r="A27" s="127">
        <v>6</v>
      </c>
      <c r="B27" s="128" t="s">
        <v>117</v>
      </c>
      <c r="C27" s="91"/>
      <c r="D27" s="92"/>
      <c r="E27" s="92"/>
    </row>
    <row r="28" spans="1:13" ht="16">
      <c r="A28" s="90" t="s">
        <v>63</v>
      </c>
      <c r="B28" s="142" t="s">
        <v>121</v>
      </c>
      <c r="C28" s="91">
        <f>F28*5</f>
        <v>36.75</v>
      </c>
      <c r="D28" s="92" t="s">
        <v>67</v>
      </c>
      <c r="E28" s="92"/>
      <c r="F28">
        <f>7*3*0.35</f>
        <v>7.35</v>
      </c>
      <c r="I28" t="s">
        <v>576</v>
      </c>
      <c r="J28">
        <v>1</v>
      </c>
      <c r="K28" s="170">
        <f>J28*M28</f>
        <v>392.75699999999995</v>
      </c>
      <c r="M28">
        <f>SUM(M30:M32)</f>
        <v>392.75699999999995</v>
      </c>
    </row>
    <row r="29" spans="1:13" ht="16">
      <c r="A29" s="90" t="s">
        <v>64</v>
      </c>
      <c r="B29" s="142" t="s">
        <v>122</v>
      </c>
      <c r="C29" s="91">
        <f t="shared" ref="C29:C33" si="0">F29*5</f>
        <v>5.25</v>
      </c>
      <c r="D29" s="92" t="s">
        <v>67</v>
      </c>
      <c r="E29" s="92"/>
      <c r="F29">
        <f>7*3*0.05</f>
        <v>1.05</v>
      </c>
      <c r="I29" t="s">
        <v>577</v>
      </c>
      <c r="J29" t="s">
        <v>578</v>
      </c>
      <c r="K29" t="s">
        <v>579</v>
      </c>
      <c r="L29" t="s">
        <v>580</v>
      </c>
      <c r="M29" t="s">
        <v>396</v>
      </c>
    </row>
    <row r="30" spans="1:13" ht="16">
      <c r="A30" s="90" t="s">
        <v>82</v>
      </c>
      <c r="B30" s="142" t="s">
        <v>123</v>
      </c>
      <c r="C30" s="91">
        <f t="shared" si="0"/>
        <v>199.5</v>
      </c>
      <c r="D30" s="92" t="s">
        <v>67</v>
      </c>
      <c r="E30" s="92"/>
      <c r="F30">
        <f>7*3*1.9</f>
        <v>39.9</v>
      </c>
      <c r="I30">
        <v>30</v>
      </c>
      <c r="J30">
        <v>12</v>
      </c>
      <c r="K30">
        <v>7.15</v>
      </c>
      <c r="L30">
        <v>0.89</v>
      </c>
      <c r="M30">
        <f>I30*K30*L30</f>
        <v>190.905</v>
      </c>
    </row>
    <row r="31" spans="1:13" ht="16">
      <c r="A31" s="90" t="s">
        <v>83</v>
      </c>
      <c r="B31" s="142" t="s">
        <v>124</v>
      </c>
      <c r="C31" s="91">
        <f t="shared" si="0"/>
        <v>246.75</v>
      </c>
      <c r="D31" s="92" t="s">
        <v>67</v>
      </c>
      <c r="E31" s="92"/>
      <c r="F31">
        <f>7*3*(1.9+0.1+0.35)</f>
        <v>49.35</v>
      </c>
      <c r="I31">
        <f>36*2</f>
        <v>72</v>
      </c>
      <c r="J31">
        <v>12</v>
      </c>
      <c r="K31">
        <v>3.15</v>
      </c>
      <c r="L31">
        <v>0.89</v>
      </c>
      <c r="M31">
        <f t="shared" ref="M31" si="1">I31*K31*L31</f>
        <v>201.85199999999998</v>
      </c>
    </row>
    <row r="32" spans="1:13" ht="16">
      <c r="A32" s="90" t="s">
        <v>118</v>
      </c>
      <c r="B32" s="142" t="s">
        <v>125</v>
      </c>
      <c r="C32" s="91">
        <f t="shared" si="0"/>
        <v>35</v>
      </c>
      <c r="D32" s="92" t="s">
        <v>18</v>
      </c>
      <c r="E32" s="92"/>
      <c r="F32">
        <f>0.35*(7*2+3*2)</f>
        <v>7</v>
      </c>
    </row>
    <row r="33" spans="1:6" ht="16">
      <c r="A33" s="90" t="s">
        <v>119</v>
      </c>
      <c r="B33" s="142" t="s">
        <v>161</v>
      </c>
      <c r="C33" s="91">
        <f t="shared" si="0"/>
        <v>1963.7849999999999</v>
      </c>
      <c r="D33" s="92" t="s">
        <v>75</v>
      </c>
      <c r="E33" s="92"/>
      <c r="F33">
        <f>K28</f>
        <v>392.75699999999995</v>
      </c>
    </row>
    <row r="34" spans="1:6" ht="16">
      <c r="A34" s="90" t="s">
        <v>120</v>
      </c>
      <c r="B34" s="142" t="s">
        <v>126</v>
      </c>
      <c r="C34" s="91">
        <v>280</v>
      </c>
      <c r="D34" s="92" t="s">
        <v>76</v>
      </c>
      <c r="E34" s="92"/>
    </row>
    <row r="35" spans="1:6" ht="16">
      <c r="A35" s="127">
        <v>7</v>
      </c>
      <c r="B35" s="128" t="s">
        <v>127</v>
      </c>
      <c r="C35" s="91"/>
      <c r="D35" s="92"/>
      <c r="E35" s="92"/>
    </row>
    <row r="36" spans="1:6" ht="16">
      <c r="A36" s="90" t="s">
        <v>66</v>
      </c>
      <c r="B36" s="142" t="s">
        <v>203</v>
      </c>
      <c r="C36" s="91">
        <f>F36*5</f>
        <v>20</v>
      </c>
      <c r="D36" s="92" t="s">
        <v>67</v>
      </c>
      <c r="E36" s="92"/>
      <c r="F36">
        <v>4</v>
      </c>
    </row>
    <row r="37" spans="1:6" ht="16">
      <c r="A37" s="90" t="s">
        <v>84</v>
      </c>
      <c r="B37" s="142" t="s">
        <v>122</v>
      </c>
      <c r="C37" s="91">
        <f t="shared" ref="C37:C46" si="2">F37*5</f>
        <v>2.5</v>
      </c>
      <c r="D37" s="92" t="s">
        <v>67</v>
      </c>
      <c r="E37" s="92"/>
      <c r="F37">
        <v>0.5</v>
      </c>
    </row>
    <row r="38" spans="1:6" ht="16">
      <c r="A38" s="90" t="s">
        <v>85</v>
      </c>
      <c r="B38" s="142" t="s">
        <v>123</v>
      </c>
      <c r="C38" s="91">
        <f t="shared" si="2"/>
        <v>24.377500000000005</v>
      </c>
      <c r="D38" s="92" t="s">
        <v>67</v>
      </c>
      <c r="E38" s="92"/>
      <c r="F38">
        <f>3.1*3.1*0.7-2.3*2.3*0.35</f>
        <v>4.8755000000000006</v>
      </c>
    </row>
    <row r="39" spans="1:6" ht="16">
      <c r="A39" s="90" t="s">
        <v>132</v>
      </c>
      <c r="B39" s="142" t="s">
        <v>124</v>
      </c>
      <c r="C39" s="91">
        <f t="shared" si="2"/>
        <v>48.050000000000004</v>
      </c>
      <c r="D39" s="92" t="s">
        <v>67</v>
      </c>
      <c r="E39" s="92"/>
      <c r="F39">
        <f>3.1*3.1*(0.35+0.65)</f>
        <v>9.6100000000000012</v>
      </c>
    </row>
    <row r="40" spans="1:6" ht="16">
      <c r="A40" s="90" t="s">
        <v>133</v>
      </c>
      <c r="B40" s="142" t="s">
        <v>125</v>
      </c>
      <c r="C40" s="91">
        <f t="shared" si="2"/>
        <v>95</v>
      </c>
      <c r="D40" s="92" t="s">
        <v>18</v>
      </c>
      <c r="E40" s="92"/>
      <c r="F40">
        <v>19</v>
      </c>
    </row>
    <row r="41" spans="1:6" ht="16">
      <c r="A41" s="90" t="s">
        <v>134</v>
      </c>
      <c r="B41" s="142" t="s">
        <v>161</v>
      </c>
      <c r="C41" s="91">
        <f t="shared" si="2"/>
        <v>600</v>
      </c>
      <c r="D41" s="92" t="s">
        <v>75</v>
      </c>
      <c r="E41" s="92"/>
      <c r="F41">
        <v>120</v>
      </c>
    </row>
    <row r="42" spans="1:6" ht="16">
      <c r="A42" s="90" t="s">
        <v>135</v>
      </c>
      <c r="B42" s="142" t="s">
        <v>126</v>
      </c>
      <c r="C42" s="91">
        <f t="shared" si="2"/>
        <v>20</v>
      </c>
      <c r="D42" s="92" t="s">
        <v>76</v>
      </c>
      <c r="E42" s="92"/>
      <c r="F42">
        <v>4</v>
      </c>
    </row>
    <row r="43" spans="1:6" ht="16">
      <c r="A43" s="90" t="s">
        <v>136</v>
      </c>
      <c r="B43" s="142" t="s">
        <v>128</v>
      </c>
      <c r="C43" s="91">
        <f t="shared" si="2"/>
        <v>180</v>
      </c>
      <c r="D43" s="92" t="s">
        <v>75</v>
      </c>
      <c r="E43" s="92"/>
      <c r="F43">
        <v>36</v>
      </c>
    </row>
    <row r="44" spans="1:6" ht="16">
      <c r="A44" s="90" t="s">
        <v>137</v>
      </c>
      <c r="B44" s="142" t="s">
        <v>129</v>
      </c>
      <c r="C44" s="91">
        <f t="shared" si="2"/>
        <v>19</v>
      </c>
      <c r="D44" s="92" t="s">
        <v>18</v>
      </c>
      <c r="E44" s="92"/>
      <c r="F44">
        <v>3.8</v>
      </c>
    </row>
    <row r="45" spans="1:6" ht="16">
      <c r="A45" s="90" t="s">
        <v>138</v>
      </c>
      <c r="B45" s="142" t="s">
        <v>130</v>
      </c>
      <c r="C45" s="91">
        <f t="shared" si="2"/>
        <v>60</v>
      </c>
      <c r="D45" s="92" t="s">
        <v>65</v>
      </c>
      <c r="E45" s="92"/>
      <c r="F45">
        <v>12</v>
      </c>
    </row>
    <row r="46" spans="1:6" ht="16">
      <c r="A46" s="90" t="s">
        <v>139</v>
      </c>
      <c r="B46" s="142" t="s">
        <v>131</v>
      </c>
      <c r="C46" s="91">
        <f t="shared" si="2"/>
        <v>50</v>
      </c>
      <c r="D46" s="92" t="s">
        <v>65</v>
      </c>
      <c r="E46" s="92"/>
      <c r="F46">
        <v>10</v>
      </c>
    </row>
    <row r="47" spans="1:6" ht="16">
      <c r="A47" s="127">
        <v>8</v>
      </c>
      <c r="B47" s="128" t="s">
        <v>140</v>
      </c>
      <c r="C47" s="91"/>
      <c r="D47" s="92"/>
      <c r="E47" s="92"/>
    </row>
    <row r="48" spans="1:6" ht="16">
      <c r="A48" s="90" t="s">
        <v>141</v>
      </c>
      <c r="B48" s="142" t="s">
        <v>121</v>
      </c>
      <c r="C48" s="91">
        <f>F48</f>
        <v>5.9159999999999995</v>
      </c>
      <c r="D48" s="92" t="s">
        <v>67</v>
      </c>
      <c r="E48" s="92"/>
      <c r="F48">
        <f>8*(0.85*0.85*0.6)+4*(0.85*1.2*0.6)</f>
        <v>5.9159999999999995</v>
      </c>
    </row>
    <row r="49" spans="1:13" ht="16">
      <c r="A49" s="90" t="s">
        <v>142</v>
      </c>
      <c r="B49" s="142" t="s">
        <v>122</v>
      </c>
      <c r="C49" s="91">
        <f t="shared" ref="C49:C54" si="3">F49</f>
        <v>0.49299999999999999</v>
      </c>
      <c r="D49" s="92" t="s">
        <v>67</v>
      </c>
      <c r="E49" s="92"/>
      <c r="F49">
        <f>8*(0.85*0.85*0.05)+4*(0.85*1.2*0.05)</f>
        <v>0.49299999999999999</v>
      </c>
    </row>
    <row r="50" spans="1:13" ht="16">
      <c r="A50" s="90" t="s">
        <v>143</v>
      </c>
      <c r="B50" s="142" t="s">
        <v>123</v>
      </c>
      <c r="C50" s="91">
        <f t="shared" si="3"/>
        <v>7.6415000000000006</v>
      </c>
      <c r="D50" s="92" t="s">
        <v>67</v>
      </c>
      <c r="E50" s="92"/>
      <c r="F50">
        <f>F51/2</f>
        <v>7.6415000000000006</v>
      </c>
    </row>
    <row r="51" spans="1:13" ht="16">
      <c r="A51" s="90" t="s">
        <v>144</v>
      </c>
      <c r="B51" s="142" t="s">
        <v>124</v>
      </c>
      <c r="C51" s="91">
        <f t="shared" si="3"/>
        <v>15.283000000000001</v>
      </c>
      <c r="D51" s="92" t="s">
        <v>67</v>
      </c>
      <c r="E51" s="92"/>
      <c r="F51">
        <f>8*(0.85*0.85*1.55)+4*(0.85*1.2*1.55)</f>
        <v>15.283000000000001</v>
      </c>
    </row>
    <row r="52" spans="1:13" ht="16">
      <c r="A52" s="90" t="s">
        <v>145</v>
      </c>
      <c r="B52" s="142" t="s">
        <v>125</v>
      </c>
      <c r="C52" s="91">
        <f t="shared" si="3"/>
        <v>26.16</v>
      </c>
      <c r="D52" s="92" t="s">
        <v>18</v>
      </c>
      <c r="E52" s="92"/>
      <c r="F52">
        <f>8*(0.6*0.85*4)+4*(0.6*1.2*2+0.6*0.85*2)</f>
        <v>26.16</v>
      </c>
    </row>
    <row r="53" spans="1:13" ht="16">
      <c r="A53" s="90" t="s">
        <v>146</v>
      </c>
      <c r="B53" s="142" t="s">
        <v>161</v>
      </c>
      <c r="C53" s="91">
        <f t="shared" si="3"/>
        <v>392</v>
      </c>
      <c r="D53" s="92" t="s">
        <v>75</v>
      </c>
      <c r="E53" s="92"/>
      <c r="F53">
        <f>29*8+40*4</f>
        <v>392</v>
      </c>
    </row>
    <row r="54" spans="1:13" ht="16">
      <c r="A54" s="90" t="s">
        <v>147</v>
      </c>
      <c r="B54" s="142" t="s">
        <v>126</v>
      </c>
      <c r="C54" s="91">
        <f t="shared" si="3"/>
        <v>64</v>
      </c>
      <c r="D54" s="92" t="s">
        <v>76</v>
      </c>
      <c r="E54" s="92"/>
      <c r="F54">
        <f>4*16</f>
        <v>64</v>
      </c>
    </row>
    <row r="55" spans="1:13" ht="16">
      <c r="A55" s="127">
        <v>9</v>
      </c>
      <c r="B55" s="128" t="s">
        <v>148</v>
      </c>
      <c r="C55" s="91"/>
      <c r="D55" s="92"/>
      <c r="E55" s="92"/>
    </row>
    <row r="56" spans="1:13" ht="16">
      <c r="A56" s="90" t="s">
        <v>151</v>
      </c>
      <c r="B56" s="142" t="s">
        <v>150</v>
      </c>
      <c r="C56" s="91">
        <f>F56</f>
        <v>2.1120000000000001</v>
      </c>
      <c r="D56" s="92" t="s">
        <v>67</v>
      </c>
      <c r="E56" s="92"/>
      <c r="F56">
        <f>0.1*(1.9*1.9+1.7*(4*1.9+1.4+1.3))</f>
        <v>2.1120000000000001</v>
      </c>
    </row>
    <row r="57" spans="1:13" ht="16">
      <c r="A57" s="90" t="s">
        <v>152</v>
      </c>
      <c r="B57" s="142" t="s">
        <v>122</v>
      </c>
      <c r="C57" s="91">
        <f>F57</f>
        <v>0.18049999999999999</v>
      </c>
      <c r="D57" s="92" t="s">
        <v>67</v>
      </c>
      <c r="E57" s="92"/>
      <c r="F57">
        <f>1.9*1.9*0.05</f>
        <v>0.18049999999999999</v>
      </c>
    </row>
    <row r="58" spans="1:13" ht="16">
      <c r="A58" s="90" t="s">
        <v>153</v>
      </c>
      <c r="B58" s="142" t="s">
        <v>128</v>
      </c>
      <c r="C58" s="91">
        <v>66</v>
      </c>
      <c r="D58" s="92" t="s">
        <v>75</v>
      </c>
      <c r="E58" s="92"/>
    </row>
    <row r="59" spans="1:13" ht="16">
      <c r="A59" s="90" t="s">
        <v>154</v>
      </c>
      <c r="B59" s="142" t="s">
        <v>124</v>
      </c>
      <c r="C59" s="91">
        <f>F59</f>
        <v>6.1369999999999996</v>
      </c>
      <c r="D59" s="92" t="s">
        <v>67</v>
      </c>
      <c r="E59" s="92"/>
      <c r="F59">
        <f>1.9*1.9*1.7</f>
        <v>6.1369999999999996</v>
      </c>
    </row>
    <row r="60" spans="1:13" ht="16">
      <c r="A60" s="90" t="s">
        <v>155</v>
      </c>
      <c r="B60" s="142" t="s">
        <v>125</v>
      </c>
      <c r="C60" s="91">
        <f>F60</f>
        <v>21.12</v>
      </c>
      <c r="D60" s="92" t="s">
        <v>18</v>
      </c>
      <c r="E60" s="92"/>
      <c r="F60">
        <f>(1.9*1.9+1.7*(4*1.9+1.4+1.3))</f>
        <v>21.12</v>
      </c>
    </row>
    <row r="61" spans="1:13" ht="16">
      <c r="A61" s="90" t="s">
        <v>156</v>
      </c>
      <c r="B61" s="142" t="s">
        <v>149</v>
      </c>
      <c r="C61" s="91">
        <v>1</v>
      </c>
      <c r="D61" s="92" t="s">
        <v>76</v>
      </c>
      <c r="E61" s="92"/>
      <c r="F61">
        <v>1</v>
      </c>
    </row>
    <row r="62" spans="1:13" ht="16">
      <c r="A62" s="127">
        <v>10</v>
      </c>
      <c r="B62" s="128" t="s">
        <v>158</v>
      </c>
      <c r="C62" s="91"/>
      <c r="D62" s="92"/>
      <c r="E62" s="92"/>
    </row>
    <row r="63" spans="1:13" ht="16">
      <c r="A63" s="90" t="s">
        <v>157</v>
      </c>
      <c r="B63" s="142" t="s">
        <v>159</v>
      </c>
      <c r="C63" s="91">
        <f>F63</f>
        <v>4.4486000000000008</v>
      </c>
      <c r="D63" s="92" t="s">
        <v>67</v>
      </c>
      <c r="E63" s="92"/>
      <c r="F63">
        <f>0.2*2.95*7.54</f>
        <v>4.4486000000000008</v>
      </c>
      <c r="J63">
        <v>1</v>
      </c>
      <c r="K63" s="170">
        <f>J63*M63</f>
        <v>149.916</v>
      </c>
      <c r="M63">
        <f>SUM(M65:M67)</f>
        <v>149.916</v>
      </c>
    </row>
    <row r="64" spans="1:13" ht="16">
      <c r="A64" s="90" t="s">
        <v>162</v>
      </c>
      <c r="B64" s="142" t="s">
        <v>122</v>
      </c>
      <c r="C64" s="91">
        <f>F64</f>
        <v>1.1121500000000002</v>
      </c>
      <c r="D64" s="92" t="s">
        <v>67</v>
      </c>
      <c r="E64" s="92"/>
      <c r="F64">
        <f>0.05*2.95*7.54</f>
        <v>1.1121500000000002</v>
      </c>
      <c r="I64" t="s">
        <v>577</v>
      </c>
      <c r="J64" t="s">
        <v>578</v>
      </c>
      <c r="K64" t="s">
        <v>579</v>
      </c>
      <c r="L64" t="s">
        <v>580</v>
      </c>
      <c r="M64" t="s">
        <v>396</v>
      </c>
    </row>
    <row r="65" spans="1:13" ht="16">
      <c r="A65" s="90" t="s">
        <v>163</v>
      </c>
      <c r="B65" s="142" t="s">
        <v>123</v>
      </c>
      <c r="C65" s="91">
        <v>16</v>
      </c>
      <c r="D65" s="92" t="s">
        <v>67</v>
      </c>
      <c r="E65" s="92"/>
      <c r="F65">
        <f>0.1*2.95*7.54</f>
        <v>2.2243000000000004</v>
      </c>
      <c r="I65">
        <f>ROUNDUP(2.95/0.2,0)+1</f>
        <v>16</v>
      </c>
      <c r="J65">
        <v>10</v>
      </c>
      <c r="K65">
        <v>7.8</v>
      </c>
      <c r="L65">
        <v>0.62</v>
      </c>
      <c r="M65">
        <f>I65*K65*L65</f>
        <v>77.376000000000005</v>
      </c>
    </row>
    <row r="66" spans="1:13" ht="16">
      <c r="A66" s="90" t="s">
        <v>164</v>
      </c>
      <c r="B66" s="142" t="s">
        <v>124</v>
      </c>
      <c r="C66" s="91">
        <f>F66</f>
        <v>7.78505</v>
      </c>
      <c r="D66" s="92" t="s">
        <v>67</v>
      </c>
      <c r="E66" s="92"/>
      <c r="F66">
        <f>0.35*2.95*7.54</f>
        <v>7.78505</v>
      </c>
      <c r="I66">
        <f>ROUNDUP(7.54/0.2,0)+1</f>
        <v>39</v>
      </c>
      <c r="J66">
        <v>10</v>
      </c>
      <c r="K66">
        <v>3</v>
      </c>
      <c r="L66">
        <v>0.62</v>
      </c>
      <c r="M66">
        <f t="shared" ref="M66" si="4">I66*K66*L66</f>
        <v>72.540000000000006</v>
      </c>
    </row>
    <row r="67" spans="1:13" ht="16">
      <c r="A67" s="90" t="s">
        <v>165</v>
      </c>
      <c r="B67" s="142" t="s">
        <v>125</v>
      </c>
      <c r="C67" s="91">
        <f>F67</f>
        <v>4.1960000000000006</v>
      </c>
      <c r="D67" s="92" t="s">
        <v>18</v>
      </c>
      <c r="E67" s="92"/>
      <c r="F67">
        <f>0.2*(2.95*2+7.54*2)</f>
        <v>4.1960000000000006</v>
      </c>
    </row>
    <row r="68" spans="1:13" ht="16">
      <c r="A68" s="90" t="s">
        <v>166</v>
      </c>
      <c r="B68" s="142" t="s">
        <v>126</v>
      </c>
      <c r="C68" s="91">
        <v>10</v>
      </c>
      <c r="D68" s="92" t="s">
        <v>76</v>
      </c>
      <c r="E68" s="92"/>
      <c r="K68" t="s">
        <v>588</v>
      </c>
    </row>
    <row r="69" spans="1:13" ht="16">
      <c r="A69" s="90" t="s">
        <v>167</v>
      </c>
      <c r="B69" s="142" t="s">
        <v>160</v>
      </c>
      <c r="C69" s="91">
        <v>21</v>
      </c>
      <c r="D69" s="92" t="s">
        <v>76</v>
      </c>
      <c r="E69" s="92"/>
    </row>
    <row r="70" spans="1:13" ht="16">
      <c r="A70" s="90" t="s">
        <v>168</v>
      </c>
      <c r="B70" s="142" t="s">
        <v>161</v>
      </c>
      <c r="C70" s="91">
        <f>M63</f>
        <v>149.916</v>
      </c>
      <c r="D70" s="92" t="s">
        <v>75</v>
      </c>
      <c r="E70" s="92"/>
    </row>
    <row r="71" spans="1:13" ht="16">
      <c r="A71" s="127">
        <v>11</v>
      </c>
      <c r="B71" s="128" t="s">
        <v>184</v>
      </c>
      <c r="C71" s="91"/>
      <c r="D71" s="92"/>
      <c r="E71" s="92"/>
    </row>
    <row r="72" spans="1:13" ht="16">
      <c r="A72" s="90" t="s">
        <v>172</v>
      </c>
      <c r="B72" s="142" t="s">
        <v>173</v>
      </c>
      <c r="C72" s="91">
        <v>1</v>
      </c>
      <c r="D72" s="92" t="s">
        <v>76</v>
      </c>
      <c r="E72" s="92"/>
    </row>
    <row r="73" spans="1:13" ht="16">
      <c r="A73" s="90" t="s">
        <v>169</v>
      </c>
      <c r="B73" s="142" t="s">
        <v>174</v>
      </c>
      <c r="C73" s="91">
        <v>3</v>
      </c>
      <c r="D73" s="92" t="s">
        <v>65</v>
      </c>
      <c r="E73" s="92"/>
    </row>
    <row r="74" spans="1:13" ht="16">
      <c r="A74" s="90" t="s">
        <v>170</v>
      </c>
      <c r="B74" s="142" t="s">
        <v>175</v>
      </c>
      <c r="C74" s="91">
        <v>1.8</v>
      </c>
      <c r="D74" s="92" t="s">
        <v>67</v>
      </c>
      <c r="E74" s="92"/>
    </row>
    <row r="75" spans="1:13" ht="16">
      <c r="A75" s="90" t="s">
        <v>171</v>
      </c>
      <c r="B75" s="142" t="s">
        <v>176</v>
      </c>
      <c r="C75" s="91">
        <v>3.2</v>
      </c>
      <c r="D75" s="92" t="s">
        <v>67</v>
      </c>
      <c r="E75" s="92"/>
    </row>
    <row r="76" spans="1:13" ht="16">
      <c r="A76" s="127">
        <v>12</v>
      </c>
      <c r="B76" s="128" t="s">
        <v>185</v>
      </c>
      <c r="C76" s="91"/>
      <c r="D76" s="92"/>
      <c r="E76" s="92"/>
    </row>
    <row r="77" spans="1:13" ht="16">
      <c r="A77" s="90" t="s">
        <v>178</v>
      </c>
      <c r="B77" s="142" t="s">
        <v>150</v>
      </c>
      <c r="C77" s="91">
        <v>1.2</v>
      </c>
      <c r="D77" s="92" t="s">
        <v>67</v>
      </c>
      <c r="E77" s="92"/>
    </row>
    <row r="78" spans="1:13" ht="16">
      <c r="A78" s="90" t="s">
        <v>179</v>
      </c>
      <c r="B78" s="142" t="s">
        <v>122</v>
      </c>
      <c r="C78" s="91">
        <v>0.1</v>
      </c>
      <c r="D78" s="92" t="s">
        <v>67</v>
      </c>
      <c r="E78" s="92"/>
    </row>
    <row r="79" spans="1:13" ht="16">
      <c r="A79" s="90" t="s">
        <v>180</v>
      </c>
      <c r="B79" s="142" t="s">
        <v>124</v>
      </c>
      <c r="C79" s="91">
        <v>1.3</v>
      </c>
      <c r="D79" s="92" t="s">
        <v>67</v>
      </c>
      <c r="E79" s="92"/>
    </row>
    <row r="80" spans="1:13" ht="16">
      <c r="A80" s="90" t="s">
        <v>181</v>
      </c>
      <c r="B80" s="142" t="s">
        <v>125</v>
      </c>
      <c r="C80" s="91">
        <v>17.3</v>
      </c>
      <c r="D80" s="92" t="s">
        <v>18</v>
      </c>
      <c r="E80" s="92"/>
    </row>
    <row r="81" spans="1:6" ht="16">
      <c r="A81" s="90" t="s">
        <v>182</v>
      </c>
      <c r="B81" s="142" t="s">
        <v>128</v>
      </c>
      <c r="C81" s="91">
        <v>35</v>
      </c>
      <c r="D81" s="92" t="s">
        <v>75</v>
      </c>
      <c r="E81" s="92"/>
    </row>
    <row r="82" spans="1:6" ht="16">
      <c r="A82" s="90" t="s">
        <v>183</v>
      </c>
      <c r="B82" s="142" t="s">
        <v>177</v>
      </c>
      <c r="C82" s="91">
        <v>32</v>
      </c>
      <c r="D82" s="92" t="s">
        <v>65</v>
      </c>
      <c r="E82" s="92"/>
    </row>
    <row r="83" spans="1:6" ht="16">
      <c r="A83" s="127">
        <v>13</v>
      </c>
      <c r="B83" s="128" t="s">
        <v>186</v>
      </c>
      <c r="C83" s="91"/>
      <c r="D83" s="92"/>
      <c r="E83" s="92"/>
    </row>
    <row r="84" spans="1:6" ht="16">
      <c r="A84" s="90" t="s">
        <v>195</v>
      </c>
      <c r="B84" s="142" t="s">
        <v>187</v>
      </c>
      <c r="C84" s="91">
        <v>14.4</v>
      </c>
      <c r="D84" s="92" t="s">
        <v>67</v>
      </c>
      <c r="E84" s="92"/>
    </row>
    <row r="85" spans="1:6" ht="16">
      <c r="A85" s="90" t="s">
        <v>196</v>
      </c>
      <c r="B85" s="142" t="s">
        <v>188</v>
      </c>
      <c r="C85" s="91">
        <v>2.5</v>
      </c>
      <c r="D85" s="92" t="s">
        <v>67</v>
      </c>
      <c r="E85" s="92"/>
    </row>
    <row r="86" spans="1:6" ht="16">
      <c r="A86" s="90" t="s">
        <v>197</v>
      </c>
      <c r="B86" s="142" t="s">
        <v>189</v>
      </c>
      <c r="C86" s="91">
        <v>48</v>
      </c>
      <c r="D86" s="92" t="s">
        <v>76</v>
      </c>
      <c r="E86" s="92"/>
    </row>
    <row r="87" spans="1:6" ht="16">
      <c r="A87" s="90" t="s">
        <v>198</v>
      </c>
      <c r="B87" s="142" t="s">
        <v>190</v>
      </c>
      <c r="C87" s="91">
        <v>15</v>
      </c>
      <c r="D87" s="92" t="s">
        <v>67</v>
      </c>
      <c r="E87" s="92"/>
    </row>
    <row r="88" spans="1:6" ht="16">
      <c r="A88" s="90" t="s">
        <v>199</v>
      </c>
      <c r="B88" s="142" t="s">
        <v>191</v>
      </c>
      <c r="C88" s="91">
        <v>36</v>
      </c>
      <c r="D88" s="92" t="s">
        <v>65</v>
      </c>
      <c r="E88" s="92"/>
    </row>
    <row r="89" spans="1:6" ht="16">
      <c r="A89" s="90" t="s">
        <v>200</v>
      </c>
      <c r="B89" s="142" t="s">
        <v>192</v>
      </c>
      <c r="C89" s="91">
        <v>5</v>
      </c>
      <c r="D89" s="92" t="s">
        <v>76</v>
      </c>
      <c r="E89" s="92"/>
    </row>
    <row r="90" spans="1:6" ht="16">
      <c r="A90" s="90" t="s">
        <v>201</v>
      </c>
      <c r="B90" s="142" t="s">
        <v>193</v>
      </c>
      <c r="C90" s="91">
        <v>29</v>
      </c>
      <c r="D90" s="92" t="s">
        <v>18</v>
      </c>
      <c r="E90" s="92"/>
    </row>
    <row r="91" spans="1:6" ht="16">
      <c r="A91" s="90" t="s">
        <v>202</v>
      </c>
      <c r="B91" s="142" t="s">
        <v>194</v>
      </c>
      <c r="C91" s="91">
        <v>6</v>
      </c>
      <c r="D91" s="92" t="s">
        <v>65</v>
      </c>
      <c r="E91" s="92"/>
    </row>
    <row r="92" spans="1:6" ht="16">
      <c r="A92" s="127">
        <v>14</v>
      </c>
      <c r="B92" s="128" t="s">
        <v>575</v>
      </c>
      <c r="C92" s="91"/>
      <c r="D92" s="92"/>
      <c r="E92" s="92"/>
    </row>
    <row r="93" spans="1:6" ht="16">
      <c r="A93" s="90" t="s">
        <v>205</v>
      </c>
      <c r="B93" s="142" t="s">
        <v>203</v>
      </c>
      <c r="C93" s="91">
        <v>2.94</v>
      </c>
      <c r="D93" s="92" t="s">
        <v>67</v>
      </c>
      <c r="E93" s="92"/>
      <c r="F93">
        <f>10*(0.6*0.7*0.7)</f>
        <v>2.94</v>
      </c>
    </row>
    <row r="94" spans="1:6" ht="16">
      <c r="A94" s="90" t="s">
        <v>206</v>
      </c>
      <c r="B94" s="142" t="s">
        <v>122</v>
      </c>
      <c r="C94" s="91">
        <v>0.25</v>
      </c>
      <c r="D94" s="92" t="s">
        <v>67</v>
      </c>
      <c r="E94" s="92"/>
      <c r="F94">
        <f>10*(0.05*0.7*0.7)</f>
        <v>0.24499999999999997</v>
      </c>
    </row>
    <row r="95" spans="1:6" ht="16">
      <c r="A95" s="90" t="s">
        <v>207</v>
      </c>
      <c r="B95" s="142" t="s">
        <v>123</v>
      </c>
      <c r="C95" s="91">
        <f>F95</f>
        <v>7.865000000000002</v>
      </c>
      <c r="D95" s="92" t="s">
        <v>67</v>
      </c>
      <c r="E95" s="92"/>
      <c r="F95">
        <f>10*((0.65)*1.1*1.1)</f>
        <v>7.865000000000002</v>
      </c>
    </row>
    <row r="96" spans="1:6" ht="16">
      <c r="A96" s="90" t="s">
        <v>208</v>
      </c>
      <c r="B96" s="142" t="s">
        <v>124</v>
      </c>
      <c r="C96" s="91">
        <f>F96</f>
        <v>12.705000000000004</v>
      </c>
      <c r="D96" s="92" t="s">
        <v>67</v>
      </c>
      <c r="E96" s="92"/>
      <c r="F96">
        <f>10*((0.4+0.65)*1.1*1.1)</f>
        <v>12.705000000000004</v>
      </c>
    </row>
    <row r="97" spans="1:14" ht="16">
      <c r="A97" s="90" t="s">
        <v>209</v>
      </c>
      <c r="B97" s="142" t="s">
        <v>125</v>
      </c>
      <c r="C97" s="91">
        <v>17</v>
      </c>
      <c r="D97" s="92" t="s">
        <v>18</v>
      </c>
      <c r="E97" s="92"/>
      <c r="F97">
        <f>10*(0.6*0.7*4)</f>
        <v>16.8</v>
      </c>
    </row>
    <row r="98" spans="1:14" ht="16">
      <c r="A98" s="90" t="s">
        <v>210</v>
      </c>
      <c r="B98" s="142" t="s">
        <v>161</v>
      </c>
      <c r="C98" s="91">
        <f>F98</f>
        <v>150</v>
      </c>
      <c r="D98" s="92" t="s">
        <v>75</v>
      </c>
      <c r="E98" s="92"/>
      <c r="F98">
        <v>150</v>
      </c>
    </row>
    <row r="99" spans="1:14" ht="16">
      <c r="A99" s="90" t="s">
        <v>211</v>
      </c>
      <c r="B99" s="142" t="s">
        <v>126</v>
      </c>
      <c r="C99" s="91">
        <v>10</v>
      </c>
      <c r="D99" s="92" t="s">
        <v>76</v>
      </c>
      <c r="E99" s="92"/>
      <c r="F99">
        <v>10</v>
      </c>
    </row>
    <row r="100" spans="1:14" ht="16">
      <c r="A100" s="90" t="s">
        <v>212</v>
      </c>
      <c r="B100" s="142" t="s">
        <v>204</v>
      </c>
      <c r="C100" s="91">
        <v>10</v>
      </c>
      <c r="D100" s="92" t="s">
        <v>76</v>
      </c>
      <c r="E100" s="92"/>
      <c r="F100">
        <v>10</v>
      </c>
    </row>
    <row r="101" spans="1:14" ht="16">
      <c r="A101" s="90"/>
      <c r="B101" s="142"/>
      <c r="C101" s="91"/>
      <c r="D101" s="92"/>
      <c r="E101" s="92"/>
    </row>
    <row r="102" spans="1:14" ht="16">
      <c r="A102" s="84"/>
      <c r="B102" s="141" t="s">
        <v>213</v>
      </c>
      <c r="C102" s="191"/>
      <c r="D102" s="147"/>
      <c r="E102" s="147"/>
    </row>
    <row r="103" spans="1:14" ht="16">
      <c r="A103" s="127">
        <v>15</v>
      </c>
      <c r="B103" s="128" t="s">
        <v>214</v>
      </c>
      <c r="C103" s="91"/>
      <c r="D103" s="92"/>
      <c r="E103" s="92"/>
    </row>
    <row r="104" spans="1:14" ht="16">
      <c r="A104" s="90" t="s">
        <v>226</v>
      </c>
      <c r="B104" s="142" t="s">
        <v>215</v>
      </c>
      <c r="C104" s="91">
        <v>845.25</v>
      </c>
      <c r="D104" s="92" t="s">
        <v>75</v>
      </c>
      <c r="E104" s="92"/>
      <c r="I104" t="s">
        <v>593</v>
      </c>
      <c r="J104" t="s">
        <v>5</v>
      </c>
      <c r="K104" t="s">
        <v>594</v>
      </c>
      <c r="L104" t="s">
        <v>596</v>
      </c>
      <c r="M104" t="s">
        <v>595</v>
      </c>
      <c r="N104" t="s">
        <v>396</v>
      </c>
    </row>
    <row r="105" spans="1:14" ht="16">
      <c r="A105" s="127">
        <v>16</v>
      </c>
      <c r="B105" s="128" t="s">
        <v>216</v>
      </c>
      <c r="C105" s="91"/>
      <c r="D105" s="92"/>
      <c r="E105" s="92"/>
      <c r="I105" t="s">
        <v>602</v>
      </c>
      <c r="J105">
        <v>4</v>
      </c>
      <c r="K105">
        <v>21</v>
      </c>
      <c r="L105">
        <f>K105*J105</f>
        <v>84</v>
      </c>
      <c r="M105">
        <f>66.78/6</f>
        <v>11.13</v>
      </c>
      <c r="N105">
        <f>M105*L105</f>
        <v>934.92000000000007</v>
      </c>
    </row>
    <row r="106" spans="1:14" ht="16">
      <c r="A106" s="90" t="s">
        <v>227</v>
      </c>
      <c r="B106" s="142" t="s">
        <v>217</v>
      </c>
      <c r="C106" s="91">
        <v>1</v>
      </c>
      <c r="D106" s="92" t="s">
        <v>76</v>
      </c>
      <c r="E106" s="92"/>
      <c r="I106" t="s">
        <v>603</v>
      </c>
      <c r="J106">
        <v>12</v>
      </c>
      <c r="K106">
        <v>0.8</v>
      </c>
      <c r="L106">
        <f t="shared" ref="L106:L107" si="5">K106*J106</f>
        <v>9.6000000000000014</v>
      </c>
      <c r="M106">
        <f>182/6</f>
        <v>30.333333333333332</v>
      </c>
      <c r="N106">
        <f t="shared" ref="N106:N107" si="6">M106*L106</f>
        <v>291.20000000000005</v>
      </c>
    </row>
    <row r="107" spans="1:14" ht="16">
      <c r="A107" s="127">
        <v>17</v>
      </c>
      <c r="B107" s="128" t="s">
        <v>218</v>
      </c>
      <c r="C107" s="91"/>
      <c r="D107" s="92"/>
      <c r="E107" s="92"/>
      <c r="I107" t="s">
        <v>604</v>
      </c>
      <c r="J107">
        <v>10</v>
      </c>
      <c r="K107">
        <v>1.5</v>
      </c>
      <c r="L107">
        <f t="shared" si="5"/>
        <v>15</v>
      </c>
      <c r="M107">
        <f>46.38/6</f>
        <v>7.73</v>
      </c>
      <c r="N107">
        <f t="shared" si="6"/>
        <v>115.95</v>
      </c>
    </row>
    <row r="108" spans="1:14" ht="16">
      <c r="A108" s="90" t="s">
        <v>228</v>
      </c>
      <c r="B108" s="142" t="s">
        <v>219</v>
      </c>
      <c r="C108" s="91">
        <v>935</v>
      </c>
      <c r="D108" s="92" t="s">
        <v>75</v>
      </c>
      <c r="E108" s="92"/>
    </row>
    <row r="109" spans="1:14" ht="16">
      <c r="A109" s="90" t="s">
        <v>229</v>
      </c>
      <c r="B109" s="142" t="s">
        <v>220</v>
      </c>
      <c r="C109" s="91">
        <v>116</v>
      </c>
      <c r="D109" s="92" t="s">
        <v>75</v>
      </c>
      <c r="E109" s="92"/>
    </row>
    <row r="110" spans="1:14" ht="16">
      <c r="A110" s="90" t="s">
        <v>230</v>
      </c>
      <c r="B110" s="142" t="s">
        <v>221</v>
      </c>
      <c r="C110" s="91">
        <v>292</v>
      </c>
      <c r="D110" s="92" t="s">
        <v>75</v>
      </c>
      <c r="E110" s="92"/>
    </row>
    <row r="111" spans="1:14" ht="16">
      <c r="A111" s="90" t="s">
        <v>231</v>
      </c>
      <c r="B111" s="142" t="s">
        <v>222</v>
      </c>
      <c r="C111" s="91">
        <v>20</v>
      </c>
      <c r="D111" s="92" t="s">
        <v>76</v>
      </c>
      <c r="E111" s="92"/>
      <c r="N111">
        <f>SUM(N105:N110)</f>
        <v>1342.0700000000002</v>
      </c>
    </row>
    <row r="112" spans="1:14" ht="16">
      <c r="A112" s="127">
        <v>18</v>
      </c>
      <c r="B112" s="128" t="s">
        <v>223</v>
      </c>
      <c r="C112" s="91"/>
      <c r="D112" s="92"/>
      <c r="E112" s="92"/>
    </row>
    <row r="113" spans="1:14" ht="16">
      <c r="A113" s="90" t="s">
        <v>232</v>
      </c>
      <c r="B113" s="142" t="s">
        <v>224</v>
      </c>
      <c r="C113" s="91">
        <v>92.399999999999991</v>
      </c>
      <c r="D113" s="92" t="s">
        <v>75</v>
      </c>
      <c r="E113" s="92"/>
    </row>
    <row r="114" spans="1:14" ht="16">
      <c r="A114" s="90" t="s">
        <v>233</v>
      </c>
      <c r="B114" s="142" t="s">
        <v>225</v>
      </c>
      <c r="C114" s="91">
        <v>80</v>
      </c>
      <c r="D114" s="92" t="s">
        <v>76</v>
      </c>
      <c r="E114" s="92"/>
    </row>
    <row r="115" spans="1:14" ht="16">
      <c r="A115" s="90"/>
      <c r="B115" s="142"/>
      <c r="C115" s="91"/>
      <c r="D115" s="92"/>
      <c r="E115" s="92"/>
    </row>
    <row r="116" spans="1:14" ht="16">
      <c r="A116" s="84"/>
      <c r="B116" s="141" t="s">
        <v>234</v>
      </c>
      <c r="C116" s="191"/>
      <c r="D116" s="147"/>
      <c r="E116" s="147"/>
    </row>
    <row r="117" spans="1:14" ht="16">
      <c r="A117" s="127">
        <v>19</v>
      </c>
      <c r="B117" s="128" t="s">
        <v>235</v>
      </c>
      <c r="C117" s="91"/>
      <c r="D117" s="92"/>
      <c r="E117" s="92"/>
    </row>
    <row r="118" spans="1:14" ht="16">
      <c r="A118" s="90" t="s">
        <v>243</v>
      </c>
      <c r="B118" s="142" t="s">
        <v>236</v>
      </c>
      <c r="C118" s="91">
        <f t="shared" ref="C118:C123" si="7">F118</f>
        <v>26.554499999999997</v>
      </c>
      <c r="D118" s="92" t="s">
        <v>67</v>
      </c>
      <c r="E118" s="92"/>
      <c r="F118">
        <f>G118+H118</f>
        <v>26.554499999999997</v>
      </c>
      <c r="G118">
        <f>12*(2.1*1.4*0.5+0.6*0.6*1.2)</f>
        <v>22.823999999999998</v>
      </c>
      <c r="H118">
        <f>4*(1.2*1.2*0.5+0.45*0.45*1.05)</f>
        <v>3.7305000000000001</v>
      </c>
    </row>
    <row r="119" spans="1:14" ht="16">
      <c r="A119" s="90" t="s">
        <v>244</v>
      </c>
      <c r="B119" s="142" t="s">
        <v>237</v>
      </c>
      <c r="C119" s="91">
        <f t="shared" si="7"/>
        <v>5.4749999999999996</v>
      </c>
      <c r="D119" s="92" t="s">
        <v>67</v>
      </c>
      <c r="E119" s="92"/>
      <c r="F119">
        <f>0.25*0.3*(42+15.5*2)</f>
        <v>5.4749999999999996</v>
      </c>
      <c r="J119" t="s">
        <v>576</v>
      </c>
      <c r="K119">
        <v>12</v>
      </c>
      <c r="L119" s="170">
        <f>K119*N119</f>
        <v>1038.96</v>
      </c>
      <c r="N119">
        <f>SUM(N121:N123)</f>
        <v>86.58</v>
      </c>
    </row>
    <row r="120" spans="1:14" ht="16">
      <c r="A120" s="90" t="s">
        <v>245</v>
      </c>
      <c r="B120" s="142" t="s">
        <v>122</v>
      </c>
      <c r="C120" s="91">
        <f t="shared" si="7"/>
        <v>2.0519999999999996</v>
      </c>
      <c r="D120" s="92" t="s">
        <v>67</v>
      </c>
      <c r="E120" s="92"/>
      <c r="F120">
        <f>G120+H120</f>
        <v>2.0519999999999996</v>
      </c>
      <c r="G120">
        <f>12*(2.1*1.4*0.05)</f>
        <v>1.7639999999999998</v>
      </c>
      <c r="H120">
        <f>4*(1.2*1.2*0.05)</f>
        <v>0.28799999999999998</v>
      </c>
      <c r="J120" t="s">
        <v>577</v>
      </c>
      <c r="K120" t="s">
        <v>578</v>
      </c>
      <c r="L120" t="s">
        <v>579</v>
      </c>
      <c r="M120" t="s">
        <v>580</v>
      </c>
      <c r="N120" t="s">
        <v>396</v>
      </c>
    </row>
    <row r="121" spans="1:14" ht="16">
      <c r="A121" s="90" t="s">
        <v>246</v>
      </c>
      <c r="B121" s="142" t="s">
        <v>238</v>
      </c>
      <c r="C121" s="91">
        <f t="shared" si="7"/>
        <v>68.903999999999996</v>
      </c>
      <c r="D121" s="92" t="s">
        <v>67</v>
      </c>
      <c r="E121" s="92"/>
      <c r="F121">
        <f>G121+H121</f>
        <v>68.903999999999996</v>
      </c>
      <c r="G121">
        <f>12*(2.1*1.4*1.7)</f>
        <v>59.975999999999999</v>
      </c>
      <c r="H121">
        <f>4*(1.2*1.2*1.55)</f>
        <v>8.927999999999999</v>
      </c>
      <c r="J121">
        <v>8</v>
      </c>
      <c r="K121">
        <v>16</v>
      </c>
      <c r="L121">
        <v>2.25</v>
      </c>
      <c r="M121">
        <v>1.58</v>
      </c>
      <c r="N121">
        <f>J121*L121*M121</f>
        <v>28.44</v>
      </c>
    </row>
    <row r="122" spans="1:14" ht="16">
      <c r="A122" s="90" t="s">
        <v>247</v>
      </c>
      <c r="B122" s="142" t="s">
        <v>239</v>
      </c>
      <c r="C122" s="91">
        <f t="shared" si="7"/>
        <v>93.72</v>
      </c>
      <c r="D122" s="92" t="s">
        <v>18</v>
      </c>
      <c r="E122" s="92"/>
      <c r="F122">
        <f>G122+H122</f>
        <v>93.72</v>
      </c>
      <c r="G122">
        <f>12*(2.1*0.5*2+1.4*0.5*2)+12*(0.6*4*1.2)</f>
        <v>76.56</v>
      </c>
      <c r="H122">
        <f>4*(4*(1.2*0.5)+4*(0.45*1.05))</f>
        <v>17.16</v>
      </c>
      <c r="J122">
        <v>20</v>
      </c>
      <c r="K122">
        <v>12</v>
      </c>
      <c r="L122">
        <v>2.5</v>
      </c>
      <c r="M122">
        <v>0.89</v>
      </c>
      <c r="N122">
        <f t="shared" ref="N122:N123" si="8">J122*L122*M122</f>
        <v>44.5</v>
      </c>
    </row>
    <row r="123" spans="1:14" ht="16">
      <c r="A123" s="90" t="s">
        <v>248</v>
      </c>
      <c r="B123" s="142" t="s">
        <v>240</v>
      </c>
      <c r="C123" s="91">
        <f t="shared" si="7"/>
        <v>54.32</v>
      </c>
      <c r="D123" s="92" t="s">
        <v>67</v>
      </c>
      <c r="E123" s="92"/>
      <c r="F123">
        <f>G123+H123</f>
        <v>54.32</v>
      </c>
      <c r="G123">
        <f>12*((2.1+0.5+0.5)*(1.4+0.5+0.5)*0.5)</f>
        <v>44.64</v>
      </c>
      <c r="H123">
        <f>4*((1.2+0.5+0.5)*(1.2+0.5+0.5)*0.5)</f>
        <v>9.6800000000000015</v>
      </c>
      <c r="J123">
        <v>10</v>
      </c>
      <c r="K123">
        <v>10</v>
      </c>
      <c r="L123">
        <v>2.2000000000000002</v>
      </c>
      <c r="M123">
        <v>0.62</v>
      </c>
      <c r="N123">
        <f t="shared" si="8"/>
        <v>13.64</v>
      </c>
    </row>
    <row r="124" spans="1:14" ht="16">
      <c r="A124" s="90" t="s">
        <v>249</v>
      </c>
      <c r="B124" s="142" t="s">
        <v>241</v>
      </c>
      <c r="C124" s="91">
        <f>F124</f>
        <v>1887.4760000000001</v>
      </c>
      <c r="D124" s="92" t="s">
        <v>75</v>
      </c>
      <c r="E124" s="92"/>
      <c r="F124">
        <f>L119+L125+L131</f>
        <v>1887.4760000000001</v>
      </c>
    </row>
    <row r="125" spans="1:14" ht="16">
      <c r="A125" s="90" t="s">
        <v>250</v>
      </c>
      <c r="B125" s="142" t="s">
        <v>242</v>
      </c>
      <c r="C125" s="91">
        <f>F125</f>
        <v>64</v>
      </c>
      <c r="D125" s="92" t="s">
        <v>76</v>
      </c>
      <c r="E125" s="92"/>
      <c r="F125">
        <f>G125+H125</f>
        <v>64</v>
      </c>
      <c r="G125">
        <f>12*4</f>
        <v>48</v>
      </c>
      <c r="H125">
        <f>4*4</f>
        <v>16</v>
      </c>
      <c r="J125" t="s">
        <v>581</v>
      </c>
      <c r="K125">
        <v>4</v>
      </c>
      <c r="L125" s="170">
        <f>K125*N125</f>
        <v>244.416</v>
      </c>
      <c r="N125">
        <f>SUM(N127:N129)</f>
        <v>61.103999999999999</v>
      </c>
    </row>
    <row r="126" spans="1:14" ht="16">
      <c r="A126" s="127">
        <v>20</v>
      </c>
      <c r="B126" s="128" t="s">
        <v>251</v>
      </c>
      <c r="C126" s="91"/>
      <c r="D126" s="92"/>
      <c r="E126" s="92"/>
      <c r="J126" t="s">
        <v>577</v>
      </c>
      <c r="K126" t="s">
        <v>578</v>
      </c>
      <c r="L126" t="s">
        <v>579</v>
      </c>
      <c r="M126" t="s">
        <v>580</v>
      </c>
      <c r="N126" t="s">
        <v>396</v>
      </c>
    </row>
    <row r="127" spans="1:14" ht="16">
      <c r="A127" s="90" t="s">
        <v>256</v>
      </c>
      <c r="B127" s="142" t="s">
        <v>252</v>
      </c>
      <c r="C127" s="91">
        <f>F127</f>
        <v>48.824999999999996</v>
      </c>
      <c r="D127" s="92" t="s">
        <v>67</v>
      </c>
      <c r="E127" s="92"/>
      <c r="F127">
        <f>0.15*15.5*21</f>
        <v>48.824999999999996</v>
      </c>
      <c r="J127">
        <v>8</v>
      </c>
      <c r="K127">
        <v>16</v>
      </c>
      <c r="L127">
        <v>2.1</v>
      </c>
      <c r="M127">
        <v>1.58</v>
      </c>
      <c r="N127">
        <f>J127*L127*M127</f>
        <v>26.544000000000004</v>
      </c>
    </row>
    <row r="128" spans="1:14" ht="16">
      <c r="A128" s="90" t="s">
        <v>257</v>
      </c>
      <c r="B128" s="142" t="s">
        <v>253</v>
      </c>
      <c r="C128" s="91">
        <f>F128</f>
        <v>32.550000000000004</v>
      </c>
      <c r="D128" s="92" t="s">
        <v>67</v>
      </c>
      <c r="E128" s="92"/>
      <c r="F128">
        <f>0.1*15.5*21</f>
        <v>32.550000000000004</v>
      </c>
      <c r="J128">
        <v>18</v>
      </c>
      <c r="K128">
        <v>12</v>
      </c>
      <c r="L128">
        <v>1.6</v>
      </c>
      <c r="M128">
        <v>0.89</v>
      </c>
      <c r="N128">
        <f t="shared" ref="N128:N129" si="9">J128*L128*M128</f>
        <v>25.632000000000001</v>
      </c>
    </row>
    <row r="129" spans="1:14" ht="16">
      <c r="A129" s="90" t="s">
        <v>258</v>
      </c>
      <c r="B129" s="142" t="s">
        <v>254</v>
      </c>
      <c r="C129" s="91">
        <f>F129</f>
        <v>325.5</v>
      </c>
      <c r="D129" s="92" t="s">
        <v>18</v>
      </c>
      <c r="E129" s="92"/>
      <c r="F129">
        <f>15.5*21</f>
        <v>325.5</v>
      </c>
      <c r="J129">
        <v>9</v>
      </c>
      <c r="K129">
        <v>10</v>
      </c>
      <c r="L129">
        <v>1.6</v>
      </c>
      <c r="M129">
        <v>0.62</v>
      </c>
      <c r="N129">
        <f t="shared" si="9"/>
        <v>8.9280000000000008</v>
      </c>
    </row>
    <row r="130" spans="1:14" ht="16">
      <c r="A130" s="90" t="s">
        <v>259</v>
      </c>
      <c r="B130" s="142" t="s">
        <v>255</v>
      </c>
      <c r="C130" s="91">
        <f>F130</f>
        <v>227.85</v>
      </c>
      <c r="D130" s="92" t="s">
        <v>67</v>
      </c>
      <c r="E130" s="92"/>
      <c r="F130">
        <f>0.7*15.5*21</f>
        <v>227.85</v>
      </c>
    </row>
    <row r="131" spans="1:14" ht="16">
      <c r="A131" s="127">
        <v>21</v>
      </c>
      <c r="B131" s="128" t="s">
        <v>260</v>
      </c>
      <c r="C131" s="91"/>
      <c r="D131" s="92"/>
      <c r="E131" s="92"/>
      <c r="J131" t="s">
        <v>582</v>
      </c>
      <c r="K131">
        <v>1</v>
      </c>
      <c r="L131" s="170">
        <f>K131*N131</f>
        <v>604.1</v>
      </c>
      <c r="N131">
        <f>SUM(N133:N135)</f>
        <v>604.1</v>
      </c>
    </row>
    <row r="132" spans="1:14" ht="16">
      <c r="A132" s="90" t="s">
        <v>272</v>
      </c>
      <c r="B132" s="142" t="s">
        <v>261</v>
      </c>
      <c r="C132" s="91">
        <v>6755</v>
      </c>
      <c r="D132" s="92" t="s">
        <v>75</v>
      </c>
      <c r="E132" s="92"/>
      <c r="J132" t="s">
        <v>577</v>
      </c>
      <c r="K132" t="s">
        <v>578</v>
      </c>
      <c r="L132" t="s">
        <v>579</v>
      </c>
      <c r="M132" t="s">
        <v>580</v>
      </c>
      <c r="N132" t="s">
        <v>396</v>
      </c>
    </row>
    <row r="133" spans="1:14" ht="16">
      <c r="A133" s="90" t="s">
        <v>273</v>
      </c>
      <c r="B133" s="142" t="s">
        <v>262</v>
      </c>
      <c r="C133" s="91">
        <v>2741.16</v>
      </c>
      <c r="D133" s="92" t="s">
        <v>75</v>
      </c>
      <c r="E133" s="92"/>
      <c r="J133">
        <v>4</v>
      </c>
      <c r="K133">
        <v>16</v>
      </c>
      <c r="L133">
        <f>(42+15.5*2)</f>
        <v>73</v>
      </c>
      <c r="M133">
        <v>1.58</v>
      </c>
      <c r="N133">
        <f>J133*L133*M133</f>
        <v>461.36</v>
      </c>
    </row>
    <row r="134" spans="1:14" ht="16">
      <c r="A134" s="90" t="s">
        <v>274</v>
      </c>
      <c r="B134" s="142" t="s">
        <v>263</v>
      </c>
      <c r="C134" s="91">
        <v>925.35</v>
      </c>
      <c r="D134" s="92" t="s">
        <v>75</v>
      </c>
      <c r="E134" s="92"/>
      <c r="J134">
        <f>(L133/0.2)+1</f>
        <v>366</v>
      </c>
      <c r="K134">
        <v>8</v>
      </c>
      <c r="L134">
        <v>1</v>
      </c>
      <c r="M134">
        <v>0.39</v>
      </c>
      <c r="N134">
        <f t="shared" ref="N134" si="10">J134*L134*M134</f>
        <v>142.74</v>
      </c>
    </row>
    <row r="135" spans="1:14" ht="16">
      <c r="A135" s="90" t="s">
        <v>275</v>
      </c>
      <c r="B135" s="142" t="s">
        <v>264</v>
      </c>
      <c r="C135" s="91">
        <v>512.69999999999993</v>
      </c>
      <c r="D135" s="92" t="s">
        <v>75</v>
      </c>
      <c r="E135" s="92"/>
    </row>
    <row r="136" spans="1:14" ht="16">
      <c r="A136" s="90" t="s">
        <v>276</v>
      </c>
      <c r="B136" s="142" t="s">
        <v>265</v>
      </c>
      <c r="C136" s="91">
        <v>934.01136000000008</v>
      </c>
      <c r="D136" s="92" t="s">
        <v>75</v>
      </c>
      <c r="E136" s="92"/>
    </row>
    <row r="137" spans="1:14" ht="16">
      <c r="A137" s="90" t="s">
        <v>277</v>
      </c>
      <c r="B137" s="142" t="s">
        <v>266</v>
      </c>
      <c r="C137" s="91">
        <v>203.64</v>
      </c>
      <c r="D137" s="92" t="s">
        <v>75</v>
      </c>
      <c r="E137" s="92"/>
      <c r="I137" t="s">
        <v>593</v>
      </c>
      <c r="J137" t="s">
        <v>5</v>
      </c>
      <c r="K137" t="s">
        <v>594</v>
      </c>
      <c r="L137" t="s">
        <v>596</v>
      </c>
      <c r="M137" t="s">
        <v>595</v>
      </c>
      <c r="N137" t="s">
        <v>396</v>
      </c>
    </row>
    <row r="138" spans="1:14" ht="16">
      <c r="A138" s="90" t="s">
        <v>278</v>
      </c>
      <c r="B138" s="142" t="s">
        <v>267</v>
      </c>
      <c r="C138" s="91">
        <v>156.27925000000002</v>
      </c>
      <c r="D138" s="92" t="s">
        <v>75</v>
      </c>
      <c r="E138" s="92"/>
      <c r="I138" t="s">
        <v>592</v>
      </c>
      <c r="J138">
        <v>12</v>
      </c>
      <c r="K138">
        <v>6</v>
      </c>
      <c r="L138">
        <f>K138*J138</f>
        <v>72</v>
      </c>
      <c r="M138">
        <f>222.6/6</f>
        <v>37.1</v>
      </c>
      <c r="N138">
        <f>M138*L138</f>
        <v>2671.2000000000003</v>
      </c>
    </row>
    <row r="139" spans="1:14" ht="16">
      <c r="A139" s="90" t="s">
        <v>279</v>
      </c>
      <c r="B139" s="142" t="s">
        <v>268</v>
      </c>
      <c r="C139" s="91">
        <v>144</v>
      </c>
      <c r="D139" s="92" t="s">
        <v>76</v>
      </c>
      <c r="E139" s="92"/>
      <c r="I139" t="s">
        <v>597</v>
      </c>
      <c r="J139">
        <v>4</v>
      </c>
      <c r="K139">
        <v>6</v>
      </c>
      <c r="L139">
        <f t="shared" ref="L139:L143" si="11">K139*J139</f>
        <v>24</v>
      </c>
      <c r="M139">
        <f>89.9/6</f>
        <v>14.983333333333334</v>
      </c>
      <c r="N139">
        <f t="shared" ref="N139:N143" si="12">M139*L139</f>
        <v>359.6</v>
      </c>
    </row>
    <row r="140" spans="1:14" ht="16">
      <c r="A140" s="90" t="s">
        <v>280</v>
      </c>
      <c r="B140" s="142" t="s">
        <v>269</v>
      </c>
      <c r="C140" s="91">
        <v>48</v>
      </c>
      <c r="D140" s="92" t="s">
        <v>76</v>
      </c>
      <c r="E140" s="92"/>
      <c r="I140" t="s">
        <v>598</v>
      </c>
      <c r="J140">
        <v>4</v>
      </c>
      <c r="K140">
        <v>21</v>
      </c>
      <c r="L140">
        <f t="shared" si="11"/>
        <v>84</v>
      </c>
      <c r="M140">
        <f>51.54/6</f>
        <v>8.59</v>
      </c>
      <c r="N140">
        <f t="shared" si="12"/>
        <v>721.56</v>
      </c>
    </row>
    <row r="141" spans="1:14" ht="16">
      <c r="A141" s="90" t="s">
        <v>281</v>
      </c>
      <c r="B141" s="142" t="s">
        <v>270</v>
      </c>
      <c r="C141" s="91">
        <v>112</v>
      </c>
      <c r="D141" s="92" t="s">
        <v>76</v>
      </c>
      <c r="E141" s="92"/>
      <c r="I141" t="s">
        <v>599</v>
      </c>
      <c r="J141">
        <v>12</v>
      </c>
      <c r="K141">
        <v>21</v>
      </c>
      <c r="L141">
        <f t="shared" si="11"/>
        <v>252</v>
      </c>
      <c r="M141">
        <v>4.4400000000000004</v>
      </c>
      <c r="N141">
        <f t="shared" si="12"/>
        <v>1118.8800000000001</v>
      </c>
    </row>
    <row r="142" spans="1:14" ht="16">
      <c r="A142" s="90" t="s">
        <v>282</v>
      </c>
      <c r="B142" s="142" t="s">
        <v>271</v>
      </c>
      <c r="C142" s="91">
        <v>585</v>
      </c>
      <c r="D142" s="92" t="s">
        <v>75</v>
      </c>
      <c r="E142" s="92"/>
      <c r="I142" t="s">
        <v>600</v>
      </c>
      <c r="J142">
        <v>6</v>
      </c>
      <c r="K142">
        <v>15.5</v>
      </c>
      <c r="L142">
        <f t="shared" si="11"/>
        <v>93</v>
      </c>
      <c r="M142">
        <f>67.92/6</f>
        <v>11.32</v>
      </c>
      <c r="N142">
        <f t="shared" si="12"/>
        <v>1052.76</v>
      </c>
    </row>
    <row r="143" spans="1:14" ht="16">
      <c r="A143" s="127">
        <v>22</v>
      </c>
      <c r="B143" s="128" t="s">
        <v>283</v>
      </c>
      <c r="C143" s="91"/>
      <c r="D143" s="92"/>
      <c r="E143" s="92"/>
      <c r="I143" t="s">
        <v>601</v>
      </c>
      <c r="J143">
        <f>5*6</f>
        <v>30</v>
      </c>
      <c r="K143">
        <v>21.2</v>
      </c>
      <c r="L143">
        <f t="shared" si="11"/>
        <v>636</v>
      </c>
      <c r="M143">
        <f>36.78/6</f>
        <v>6.13</v>
      </c>
      <c r="N143">
        <f t="shared" si="12"/>
        <v>3898.68</v>
      </c>
    </row>
    <row r="144" spans="1:14" ht="16">
      <c r="A144" s="90" t="s">
        <v>290</v>
      </c>
      <c r="B144" s="142" t="s">
        <v>284</v>
      </c>
      <c r="C144" s="91">
        <v>829.03500000000008</v>
      </c>
      <c r="D144" s="92" t="s">
        <v>75</v>
      </c>
      <c r="E144" s="92"/>
      <c r="N144">
        <f>SUM(N138:N143)</f>
        <v>9822.68</v>
      </c>
    </row>
    <row r="145" spans="1:5" ht="16">
      <c r="A145" s="90" t="s">
        <v>291</v>
      </c>
      <c r="B145" s="142" t="s">
        <v>285</v>
      </c>
      <c r="C145" s="91">
        <v>1</v>
      </c>
      <c r="D145" s="92" t="s">
        <v>58</v>
      </c>
      <c r="E145" s="92"/>
    </row>
    <row r="146" spans="1:5" ht="16">
      <c r="A146" s="90" t="s">
        <v>292</v>
      </c>
      <c r="B146" s="142" t="s">
        <v>286</v>
      </c>
      <c r="C146" s="91">
        <v>1</v>
      </c>
      <c r="D146" s="92" t="s">
        <v>58</v>
      </c>
      <c r="E146" s="92"/>
    </row>
    <row r="147" spans="1:5" ht="16">
      <c r="A147" s="90" t="s">
        <v>293</v>
      </c>
      <c r="B147" s="142" t="s">
        <v>287</v>
      </c>
      <c r="C147" s="91">
        <v>2</v>
      </c>
      <c r="D147" s="92" t="s">
        <v>76</v>
      </c>
      <c r="E147" s="92"/>
    </row>
    <row r="148" spans="1:5" ht="16">
      <c r="A148" s="90" t="s">
        <v>294</v>
      </c>
      <c r="B148" s="142" t="s">
        <v>288</v>
      </c>
      <c r="C148" s="91">
        <v>2</v>
      </c>
      <c r="D148" s="92" t="s">
        <v>76</v>
      </c>
      <c r="E148" s="92"/>
    </row>
    <row r="149" spans="1:5" ht="16">
      <c r="A149" s="90" t="s">
        <v>295</v>
      </c>
      <c r="B149" s="142" t="s">
        <v>289</v>
      </c>
      <c r="C149" s="91">
        <v>82.2</v>
      </c>
      <c r="D149" s="92" t="s">
        <v>65</v>
      </c>
      <c r="E149" s="92"/>
    </row>
    <row r="150" spans="1:5" ht="16">
      <c r="A150" s="127">
        <v>23</v>
      </c>
      <c r="B150" s="128" t="s">
        <v>296</v>
      </c>
      <c r="C150" s="91"/>
      <c r="D150" s="92"/>
      <c r="E150" s="92"/>
    </row>
    <row r="151" spans="1:5" ht="16">
      <c r="A151" s="90" t="s">
        <v>303</v>
      </c>
      <c r="B151" s="142" t="s">
        <v>297</v>
      </c>
      <c r="C151" s="91">
        <v>716</v>
      </c>
      <c r="D151" s="92" t="s">
        <v>18</v>
      </c>
      <c r="E151" s="92"/>
    </row>
    <row r="152" spans="1:5" ht="16">
      <c r="A152" s="90" t="s">
        <v>304</v>
      </c>
      <c r="B152" s="142" t="s">
        <v>298</v>
      </c>
      <c r="C152" s="91">
        <v>45</v>
      </c>
      <c r="D152" s="92" t="s">
        <v>18</v>
      </c>
      <c r="E152" s="92"/>
    </row>
    <row r="153" spans="1:5" ht="16">
      <c r="A153" s="90" t="s">
        <v>305</v>
      </c>
      <c r="B153" s="142" t="s">
        <v>299</v>
      </c>
      <c r="C153" s="91">
        <v>22</v>
      </c>
      <c r="D153" s="92" t="s">
        <v>65</v>
      </c>
      <c r="E153" s="92"/>
    </row>
    <row r="154" spans="1:5" ht="16">
      <c r="A154" s="90" t="s">
        <v>306</v>
      </c>
      <c r="B154" s="142" t="s">
        <v>300</v>
      </c>
      <c r="C154" s="91">
        <v>64</v>
      </c>
      <c r="D154" s="92" t="s">
        <v>65</v>
      </c>
      <c r="E154" s="92"/>
    </row>
    <row r="155" spans="1:5" ht="16">
      <c r="A155" s="90" t="s">
        <v>307</v>
      </c>
      <c r="B155" s="142" t="s">
        <v>301</v>
      </c>
      <c r="C155" s="91">
        <f>35+25</f>
        <v>60</v>
      </c>
      <c r="D155" s="92" t="s">
        <v>65</v>
      </c>
      <c r="E155" s="92"/>
    </row>
    <row r="156" spans="1:5" ht="16">
      <c r="A156" s="90" t="s">
        <v>308</v>
      </c>
      <c r="B156" s="142" t="s">
        <v>302</v>
      </c>
      <c r="C156" s="91">
        <v>126</v>
      </c>
      <c r="D156" s="92" t="s">
        <v>65</v>
      </c>
      <c r="E156" s="92"/>
    </row>
    <row r="157" spans="1:5" ht="16">
      <c r="A157" s="90"/>
      <c r="B157" s="142"/>
      <c r="C157" s="91"/>
      <c r="D157" s="92"/>
      <c r="E157" s="92"/>
    </row>
    <row r="158" spans="1:5" ht="16">
      <c r="A158" s="84"/>
      <c r="B158" s="141" t="s">
        <v>309</v>
      </c>
      <c r="C158" s="191"/>
      <c r="D158" s="147"/>
      <c r="E158" s="147"/>
    </row>
    <row r="159" spans="1:5" ht="16">
      <c r="A159" s="127">
        <v>24</v>
      </c>
      <c r="B159" s="128" t="s">
        <v>310</v>
      </c>
      <c r="C159" s="91"/>
      <c r="D159" s="92"/>
      <c r="E159" s="92"/>
    </row>
    <row r="160" spans="1:5" ht="16">
      <c r="A160" s="90" t="s">
        <v>317</v>
      </c>
      <c r="B160" s="142" t="s">
        <v>311</v>
      </c>
      <c r="C160" s="91">
        <v>80</v>
      </c>
      <c r="D160" s="92" t="s">
        <v>67</v>
      </c>
      <c r="E160" s="92"/>
    </row>
    <row r="161" spans="1:5" ht="16">
      <c r="A161" s="90" t="s">
        <v>318</v>
      </c>
      <c r="B161" s="142" t="s">
        <v>312</v>
      </c>
      <c r="C161" s="91">
        <v>60</v>
      </c>
      <c r="D161" s="92" t="s">
        <v>65</v>
      </c>
      <c r="E161" s="92"/>
    </row>
    <row r="162" spans="1:5" ht="16">
      <c r="A162" s="90" t="s">
        <v>319</v>
      </c>
      <c r="B162" s="142" t="s">
        <v>313</v>
      </c>
      <c r="C162" s="91">
        <v>250</v>
      </c>
      <c r="D162" s="92" t="s">
        <v>65</v>
      </c>
      <c r="E162" s="92"/>
    </row>
    <row r="163" spans="1:5" ht="16">
      <c r="A163" s="127">
        <v>25</v>
      </c>
      <c r="B163" s="128" t="s">
        <v>314</v>
      </c>
      <c r="C163" s="91"/>
      <c r="D163" s="92"/>
      <c r="E163" s="92"/>
    </row>
    <row r="164" spans="1:5" ht="16">
      <c r="A164" s="90" t="s">
        <v>320</v>
      </c>
      <c r="B164" s="142" t="s">
        <v>315</v>
      </c>
      <c r="C164" s="91">
        <f>2.5*19+2+0.9+2+0.9+2.5*8</f>
        <v>73.3</v>
      </c>
      <c r="D164" s="92" t="s">
        <v>65</v>
      </c>
      <c r="E164" s="92"/>
    </row>
    <row r="165" spans="1:5" ht="16">
      <c r="A165" s="90" t="s">
        <v>321</v>
      </c>
      <c r="B165" s="142" t="s">
        <v>316</v>
      </c>
      <c r="C165" s="91">
        <v>4</v>
      </c>
      <c r="D165" s="92" t="s">
        <v>76</v>
      </c>
      <c r="E165" s="92"/>
    </row>
    <row r="166" spans="1:5" ht="16">
      <c r="A166" s="90"/>
      <c r="B166" s="142"/>
      <c r="C166" s="91"/>
      <c r="D166" s="92"/>
      <c r="E166" s="92"/>
    </row>
    <row r="167" spans="1:5" ht="16">
      <c r="A167" s="84"/>
      <c r="B167" s="141" t="s">
        <v>322</v>
      </c>
      <c r="C167" s="191"/>
      <c r="D167" s="147"/>
      <c r="E167" s="147"/>
    </row>
    <row r="168" spans="1:5" ht="16">
      <c r="A168" s="127">
        <v>26</v>
      </c>
      <c r="B168" s="128" t="s">
        <v>323</v>
      </c>
      <c r="C168" s="91"/>
      <c r="D168" s="92"/>
      <c r="E168" s="92"/>
    </row>
    <row r="169" spans="1:5" ht="16">
      <c r="A169" s="90" t="s">
        <v>330</v>
      </c>
      <c r="B169" s="142" t="s">
        <v>324</v>
      </c>
      <c r="C169" s="91">
        <v>4</v>
      </c>
      <c r="D169" s="92" t="s">
        <v>76</v>
      </c>
      <c r="E169" s="92"/>
    </row>
    <row r="170" spans="1:5" ht="16">
      <c r="A170" s="90" t="s">
        <v>331</v>
      </c>
      <c r="B170" s="142" t="s">
        <v>325</v>
      </c>
      <c r="C170" s="91">
        <v>2</v>
      </c>
      <c r="D170" s="92" t="s">
        <v>76</v>
      </c>
      <c r="E170" s="92"/>
    </row>
    <row r="171" spans="1:5" ht="16">
      <c r="A171" s="90" t="s">
        <v>332</v>
      </c>
      <c r="B171" s="142" t="s">
        <v>326</v>
      </c>
      <c r="C171" s="91">
        <v>1</v>
      </c>
      <c r="D171" s="92" t="s">
        <v>76</v>
      </c>
      <c r="E171" s="92"/>
    </row>
    <row r="172" spans="1:5" ht="16">
      <c r="A172" s="90" t="s">
        <v>333</v>
      </c>
      <c r="B172" s="142" t="s">
        <v>327</v>
      </c>
      <c r="C172" s="91">
        <v>2</v>
      </c>
      <c r="D172" s="92" t="s">
        <v>76</v>
      </c>
      <c r="E172" s="92"/>
    </row>
    <row r="173" spans="1:5" ht="16">
      <c r="A173" s="90" t="s">
        <v>334</v>
      </c>
      <c r="B173" s="142" t="s">
        <v>328</v>
      </c>
      <c r="C173" s="91">
        <v>21</v>
      </c>
      <c r="D173" s="92" t="s">
        <v>65</v>
      </c>
      <c r="E173" s="92"/>
    </row>
    <row r="174" spans="1:5" ht="16">
      <c r="A174" s="90" t="s">
        <v>335</v>
      </c>
      <c r="B174" s="142" t="s">
        <v>329</v>
      </c>
      <c r="C174" s="91">
        <v>14</v>
      </c>
      <c r="D174" s="92" t="s">
        <v>65</v>
      </c>
      <c r="E174" s="92"/>
    </row>
    <row r="175" spans="1:5" ht="16">
      <c r="A175" s="90"/>
      <c r="B175" s="142"/>
      <c r="C175" s="91"/>
      <c r="D175" s="92"/>
      <c r="E175" s="92"/>
    </row>
    <row r="176" spans="1:5" ht="16">
      <c r="A176" s="84"/>
      <c r="B176" s="141" t="s">
        <v>336</v>
      </c>
      <c r="C176" s="191"/>
      <c r="D176" s="147"/>
      <c r="E176" s="147"/>
    </row>
    <row r="177" spans="1:5" ht="16">
      <c r="A177" s="127">
        <v>27</v>
      </c>
      <c r="B177" s="128" t="s">
        <v>337</v>
      </c>
      <c r="C177" s="91"/>
      <c r="D177" s="92"/>
      <c r="E177" s="92"/>
    </row>
    <row r="178" spans="1:5" ht="16">
      <c r="A178" s="90" t="s">
        <v>342</v>
      </c>
      <c r="B178" s="142" t="s">
        <v>338</v>
      </c>
      <c r="C178" s="91">
        <v>5</v>
      </c>
      <c r="D178" s="92" t="s">
        <v>76</v>
      </c>
      <c r="E178" s="92"/>
    </row>
    <row r="179" spans="1:5" ht="16">
      <c r="A179" s="90" t="s">
        <v>343</v>
      </c>
      <c r="B179" s="142" t="s">
        <v>339</v>
      </c>
      <c r="C179" s="91">
        <v>1</v>
      </c>
      <c r="D179" s="92" t="s">
        <v>76</v>
      </c>
      <c r="E179" s="92"/>
    </row>
    <row r="180" spans="1:5" ht="16">
      <c r="A180" s="90" t="s">
        <v>344</v>
      </c>
      <c r="B180" s="142" t="s">
        <v>340</v>
      </c>
      <c r="C180" s="91">
        <v>5</v>
      </c>
      <c r="D180" s="92" t="s">
        <v>76</v>
      </c>
      <c r="E180" s="92"/>
    </row>
    <row r="181" spans="1:5" ht="16">
      <c r="A181" s="90" t="s">
        <v>345</v>
      </c>
      <c r="B181" s="142" t="s">
        <v>341</v>
      </c>
      <c r="C181" s="91">
        <v>1</v>
      </c>
      <c r="D181" s="92" t="s">
        <v>76</v>
      </c>
      <c r="E181" s="92"/>
    </row>
  </sheetData>
  <pageMargins left="0.7" right="0.7" top="0.75" bottom="0.75" header="0.3" footer="0.3"/>
  <pageSetup paperSize="9" scale="3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49B5-951A-41AC-8023-8DE019A203B7}">
  <dimension ref="A2:G181"/>
  <sheetViews>
    <sheetView topLeftCell="A149" zoomScale="102" workbookViewId="0">
      <selection activeCell="K180" sqref="K180"/>
    </sheetView>
  </sheetViews>
  <sheetFormatPr baseColWidth="10" defaultColWidth="8.83203125" defaultRowHeight="15"/>
  <cols>
    <col min="2" max="2" width="91.6640625" customWidth="1"/>
    <col min="4" max="4" width="8.83203125" style="182"/>
    <col min="5" max="5" width="9.83203125" style="172" customWidth="1"/>
  </cols>
  <sheetData>
    <row r="2" spans="1:7" ht="16">
      <c r="A2" s="84"/>
      <c r="B2" s="141" t="s">
        <v>95</v>
      </c>
      <c r="C2" s="86"/>
      <c r="D2" s="185" t="s">
        <v>648</v>
      </c>
      <c r="E2" s="186" t="s">
        <v>649</v>
      </c>
      <c r="F2" s="243" t="s">
        <v>650</v>
      </c>
      <c r="G2" s="243"/>
    </row>
    <row r="3" spans="1:7" ht="16">
      <c r="A3" s="127">
        <v>1</v>
      </c>
      <c r="B3" s="128" t="s">
        <v>96</v>
      </c>
      <c r="C3" s="92"/>
      <c r="D3" s="171"/>
      <c r="F3" s="172"/>
    </row>
    <row r="4" spans="1:7" ht="16">
      <c r="A4" s="90" t="s">
        <v>17</v>
      </c>
      <c r="B4" s="142" t="s">
        <v>96</v>
      </c>
      <c r="C4" s="92" t="s">
        <v>58</v>
      </c>
      <c r="D4" s="175">
        <f>'03.- Cubicaciones'!C5</f>
        <v>1</v>
      </c>
      <c r="E4" s="176">
        <v>1</v>
      </c>
      <c r="F4" s="187">
        <f>E4-D4</f>
        <v>0</v>
      </c>
      <c r="G4" s="188">
        <f>F4/E4</f>
        <v>0</v>
      </c>
    </row>
    <row r="5" spans="1:7" ht="16">
      <c r="A5" s="127">
        <v>2</v>
      </c>
      <c r="B5" s="128" t="s">
        <v>69</v>
      </c>
      <c r="C5" s="92"/>
      <c r="D5" s="175"/>
      <c r="E5" s="177"/>
      <c r="F5" s="177"/>
      <c r="G5" s="188"/>
    </row>
    <row r="6" spans="1:7" ht="16">
      <c r="A6" s="90" t="s">
        <v>19</v>
      </c>
      <c r="B6" s="142" t="s">
        <v>98</v>
      </c>
      <c r="C6" s="92" t="s">
        <v>67</v>
      </c>
      <c r="D6" s="175">
        <f>'03.- Cubicaciones'!C7</f>
        <v>890</v>
      </c>
      <c r="E6" s="176">
        <f>640+250</f>
        <v>890</v>
      </c>
      <c r="F6" s="187">
        <f>E6-D6</f>
        <v>0</v>
      </c>
      <c r="G6" s="188">
        <f t="shared" ref="G6:G68" si="0">F6/E6</f>
        <v>0</v>
      </c>
    </row>
    <row r="7" spans="1:7" ht="16">
      <c r="A7" s="90" t="s">
        <v>86</v>
      </c>
      <c r="B7" s="142" t="s">
        <v>99</v>
      </c>
      <c r="C7" s="92" t="s">
        <v>346</v>
      </c>
      <c r="D7" s="175">
        <f>'03.- Cubicaciones'!C8</f>
        <v>400</v>
      </c>
      <c r="E7" s="176">
        <v>400</v>
      </c>
      <c r="F7" s="187">
        <f>E7-D7</f>
        <v>0</v>
      </c>
      <c r="G7" s="188">
        <f t="shared" si="0"/>
        <v>0</v>
      </c>
    </row>
    <row r="8" spans="1:7" ht="16">
      <c r="A8" s="90" t="s">
        <v>53</v>
      </c>
      <c r="B8" s="142" t="s">
        <v>100</v>
      </c>
      <c r="C8" s="92" t="s">
        <v>346</v>
      </c>
      <c r="D8" s="175">
        <f>'03.- Cubicaciones'!C9</f>
        <v>754</v>
      </c>
      <c r="E8" s="176">
        <f>(768-870*0.4)*1.2+250</f>
        <v>754</v>
      </c>
      <c r="F8" s="187">
        <f>E8-D8</f>
        <v>0</v>
      </c>
      <c r="G8" s="188">
        <f t="shared" si="0"/>
        <v>0</v>
      </c>
    </row>
    <row r="9" spans="1:7" ht="16">
      <c r="A9" s="90" t="s">
        <v>97</v>
      </c>
      <c r="B9" s="142" t="s">
        <v>101</v>
      </c>
      <c r="C9" s="92" t="s">
        <v>58</v>
      </c>
      <c r="D9" s="175">
        <f>'03.- Cubicaciones'!C10</f>
        <v>1</v>
      </c>
      <c r="E9" s="176">
        <v>1</v>
      </c>
      <c r="F9" s="187">
        <f>E9-D9</f>
        <v>0</v>
      </c>
      <c r="G9" s="188">
        <f t="shared" si="0"/>
        <v>0</v>
      </c>
    </row>
    <row r="10" spans="1:7" ht="16">
      <c r="A10" s="127">
        <v>3</v>
      </c>
      <c r="B10" s="128" t="s">
        <v>102</v>
      </c>
      <c r="C10" s="92"/>
      <c r="D10" s="175"/>
      <c r="E10" s="177"/>
      <c r="F10" s="177"/>
      <c r="G10" s="188"/>
    </row>
    <row r="11" spans="1:7" ht="16">
      <c r="A11" s="90" t="s">
        <v>51</v>
      </c>
      <c r="B11" s="142" t="s">
        <v>103</v>
      </c>
      <c r="C11" s="92" t="s">
        <v>346</v>
      </c>
      <c r="D11" s="175">
        <f>'03.- Cubicaciones'!C12</f>
        <v>760</v>
      </c>
      <c r="E11" s="176">
        <f>860*0.8*1.1</f>
        <v>756.80000000000007</v>
      </c>
      <c r="F11" s="187">
        <f>E11-D11</f>
        <v>-3.1999999999999318</v>
      </c>
      <c r="G11" s="188">
        <f t="shared" si="0"/>
        <v>-4.2283298097250677E-3</v>
      </c>
    </row>
    <row r="12" spans="1:7" ht="16">
      <c r="A12" s="90" t="s">
        <v>52</v>
      </c>
      <c r="B12" s="142" t="s">
        <v>104</v>
      </c>
      <c r="C12" s="92" t="s">
        <v>67</v>
      </c>
      <c r="D12" s="175">
        <f>'03.- Cubicaciones'!C13</f>
        <v>234</v>
      </c>
      <c r="E12" s="176">
        <v>240</v>
      </c>
      <c r="F12" s="187">
        <f>E12-D12</f>
        <v>6</v>
      </c>
      <c r="G12" s="188">
        <f t="shared" si="0"/>
        <v>2.5000000000000001E-2</v>
      </c>
    </row>
    <row r="13" spans="1:7" ht="16">
      <c r="A13" s="90" t="s">
        <v>77</v>
      </c>
      <c r="B13" s="142" t="s">
        <v>105</v>
      </c>
      <c r="C13" s="92" t="s">
        <v>67</v>
      </c>
      <c r="D13" s="175">
        <f>'03.- Cubicaciones'!C14</f>
        <v>180</v>
      </c>
      <c r="E13" s="176">
        <v>180</v>
      </c>
      <c r="F13" s="187">
        <f>E13-D13</f>
        <v>0</v>
      </c>
      <c r="G13" s="188">
        <f t="shared" si="0"/>
        <v>0</v>
      </c>
    </row>
    <row r="14" spans="1:7" ht="16">
      <c r="A14" s="90" t="s">
        <v>78</v>
      </c>
      <c r="B14" s="142" t="s">
        <v>106</v>
      </c>
      <c r="C14" s="92" t="s">
        <v>67</v>
      </c>
      <c r="D14" s="175">
        <f>'03.- Cubicaciones'!C15</f>
        <v>270</v>
      </c>
      <c r="E14" s="176">
        <v>270</v>
      </c>
      <c r="F14" s="187">
        <f>E14-D14</f>
        <v>0</v>
      </c>
      <c r="G14" s="188">
        <f t="shared" si="0"/>
        <v>0</v>
      </c>
    </row>
    <row r="15" spans="1:7" ht="16">
      <c r="A15" s="90" t="s">
        <v>79</v>
      </c>
      <c r="B15" s="142" t="s">
        <v>107</v>
      </c>
      <c r="C15" s="92" t="s">
        <v>18</v>
      </c>
      <c r="D15" s="175">
        <f>'03.- Cubicaciones'!C16</f>
        <v>900</v>
      </c>
      <c r="E15" s="176">
        <f>860*1.2</f>
        <v>1032</v>
      </c>
      <c r="F15" s="187">
        <f>E15-D15</f>
        <v>132</v>
      </c>
      <c r="G15" s="188">
        <f t="shared" si="0"/>
        <v>0.12790697674418605</v>
      </c>
    </row>
    <row r="16" spans="1:7" ht="16">
      <c r="A16" s="127">
        <v>4</v>
      </c>
      <c r="B16" s="128" t="s">
        <v>108</v>
      </c>
      <c r="C16" s="92"/>
      <c r="D16" s="175"/>
      <c r="E16" s="177"/>
      <c r="F16" s="177"/>
      <c r="G16" s="188"/>
    </row>
    <row r="17" spans="1:7" ht="16">
      <c r="A17" s="90" t="s">
        <v>59</v>
      </c>
      <c r="B17" s="142" t="s">
        <v>109</v>
      </c>
      <c r="C17" s="92" t="s">
        <v>65</v>
      </c>
      <c r="D17" s="175">
        <f>'03.- Cubicaciones'!C18</f>
        <v>6.3</v>
      </c>
      <c r="E17" s="176">
        <v>6.3</v>
      </c>
      <c r="F17" s="187">
        <f>E17-D17</f>
        <v>0</v>
      </c>
      <c r="G17" s="188">
        <f t="shared" si="0"/>
        <v>0</v>
      </c>
    </row>
    <row r="18" spans="1:7" ht="16">
      <c r="A18" s="90" t="s">
        <v>60</v>
      </c>
      <c r="B18" s="142" t="s">
        <v>110</v>
      </c>
      <c r="C18" s="92" t="s">
        <v>76</v>
      </c>
      <c r="D18" s="175">
        <f>'03.- Cubicaciones'!C19</f>
        <v>1</v>
      </c>
      <c r="E18" s="176">
        <v>1</v>
      </c>
      <c r="F18" s="187">
        <f>E18-D18</f>
        <v>0</v>
      </c>
      <c r="G18" s="188">
        <f t="shared" si="0"/>
        <v>0</v>
      </c>
    </row>
    <row r="19" spans="1:7" ht="16">
      <c r="A19" s="127">
        <v>5</v>
      </c>
      <c r="B19" s="128" t="s">
        <v>111</v>
      </c>
      <c r="C19" s="92"/>
      <c r="D19" s="175"/>
      <c r="E19" s="177"/>
      <c r="F19" s="177"/>
      <c r="G19" s="188"/>
    </row>
    <row r="20" spans="1:7" ht="16">
      <c r="A20" s="90" t="s">
        <v>61</v>
      </c>
      <c r="B20" s="142" t="s">
        <v>112</v>
      </c>
      <c r="C20" s="92" t="s">
        <v>65</v>
      </c>
      <c r="D20" s="175">
        <f>'03.- Cubicaciones'!C21</f>
        <v>50</v>
      </c>
      <c r="E20" s="176">
        <v>50</v>
      </c>
      <c r="F20" s="187">
        <f>E20-D20</f>
        <v>0</v>
      </c>
      <c r="G20" s="188">
        <f t="shared" si="0"/>
        <v>0</v>
      </c>
    </row>
    <row r="21" spans="1:7" ht="16">
      <c r="A21" s="90" t="s">
        <v>62</v>
      </c>
      <c r="B21" s="142" t="s">
        <v>113</v>
      </c>
      <c r="C21" s="92" t="s">
        <v>65</v>
      </c>
      <c r="D21" s="175">
        <f>'03.- Cubicaciones'!C22</f>
        <v>280</v>
      </c>
      <c r="E21" s="176">
        <v>362</v>
      </c>
      <c r="F21" s="187">
        <f>E21-D21</f>
        <v>82</v>
      </c>
      <c r="G21" s="188">
        <f t="shared" si="0"/>
        <v>0.22651933701657459</v>
      </c>
    </row>
    <row r="22" spans="1:7" ht="16">
      <c r="A22" s="90" t="s">
        <v>80</v>
      </c>
      <c r="B22" s="142" t="s">
        <v>115</v>
      </c>
      <c r="C22" s="92" t="s">
        <v>76</v>
      </c>
      <c r="D22" s="175">
        <f>'03.- Cubicaciones'!C23</f>
        <v>1</v>
      </c>
      <c r="E22" s="176">
        <v>1</v>
      </c>
      <c r="F22" s="187">
        <f>E22-D22</f>
        <v>0</v>
      </c>
      <c r="G22" s="188">
        <f t="shared" si="0"/>
        <v>0</v>
      </c>
    </row>
    <row r="23" spans="1:7" ht="16">
      <c r="A23" s="90" t="s">
        <v>81</v>
      </c>
      <c r="B23" s="142" t="s">
        <v>114</v>
      </c>
      <c r="C23" s="92" t="s">
        <v>76</v>
      </c>
      <c r="D23" s="175">
        <f>'03.- Cubicaciones'!C24</f>
        <v>1</v>
      </c>
      <c r="E23" s="176">
        <v>1</v>
      </c>
      <c r="F23" s="187">
        <f>E23-D23</f>
        <v>0</v>
      </c>
      <c r="G23" s="188">
        <f t="shared" si="0"/>
        <v>0</v>
      </c>
    </row>
    <row r="24" spans="1:7" ht="16">
      <c r="A24" s="90"/>
      <c r="B24" s="142"/>
      <c r="C24" s="92"/>
      <c r="D24" s="175"/>
      <c r="E24" s="176"/>
      <c r="F24" s="176"/>
      <c r="G24" s="188"/>
    </row>
    <row r="25" spans="1:7" ht="16">
      <c r="A25" s="84"/>
      <c r="B25" s="141" t="s">
        <v>116</v>
      </c>
      <c r="C25" s="86"/>
      <c r="D25" s="183"/>
      <c r="E25" s="178"/>
      <c r="F25" s="178"/>
      <c r="G25" s="188"/>
    </row>
    <row r="26" spans="1:7" ht="16">
      <c r="A26" s="127">
        <v>6</v>
      </c>
      <c r="B26" s="128" t="s">
        <v>117</v>
      </c>
      <c r="C26" s="92"/>
      <c r="D26" s="175"/>
      <c r="E26" s="177"/>
      <c r="F26" s="177"/>
      <c r="G26" s="188"/>
    </row>
    <row r="27" spans="1:7" ht="16">
      <c r="A27" s="90" t="s">
        <v>63</v>
      </c>
      <c r="B27" s="142" t="s">
        <v>121</v>
      </c>
      <c r="C27" s="92" t="s">
        <v>67</v>
      </c>
      <c r="D27" s="175">
        <f>'03.- Cubicaciones'!C28</f>
        <v>36.75</v>
      </c>
      <c r="E27" s="176">
        <f>8*5</f>
        <v>40</v>
      </c>
      <c r="F27" s="187">
        <f t="shared" ref="F27:F33" si="1">E27-D27</f>
        <v>3.25</v>
      </c>
      <c r="G27" s="188">
        <f t="shared" si="0"/>
        <v>8.1250000000000003E-2</v>
      </c>
    </row>
    <row r="28" spans="1:7" ht="16">
      <c r="A28" s="90" t="s">
        <v>64</v>
      </c>
      <c r="B28" s="142" t="s">
        <v>122</v>
      </c>
      <c r="C28" s="92" t="s">
        <v>67</v>
      </c>
      <c r="D28" s="175">
        <f>'03.- Cubicaciones'!C29</f>
        <v>5.25</v>
      </c>
      <c r="E28" s="176">
        <f>2.1*5</f>
        <v>10.5</v>
      </c>
      <c r="F28" s="187">
        <f t="shared" si="1"/>
        <v>5.25</v>
      </c>
      <c r="G28" s="188">
        <f t="shared" si="0"/>
        <v>0.5</v>
      </c>
    </row>
    <row r="29" spans="1:7" ht="16">
      <c r="A29" s="90" t="s">
        <v>82</v>
      </c>
      <c r="B29" s="142" t="s">
        <v>123</v>
      </c>
      <c r="C29" s="92" t="s">
        <v>67</v>
      </c>
      <c r="D29" s="175">
        <f>'03.- Cubicaciones'!C30</f>
        <v>199.5</v>
      </c>
      <c r="E29" s="176">
        <f>24.15*5</f>
        <v>120.75</v>
      </c>
      <c r="F29" s="187">
        <f t="shared" si="1"/>
        <v>-78.75</v>
      </c>
      <c r="G29" s="188">
        <f t="shared" si="0"/>
        <v>-0.65217391304347827</v>
      </c>
    </row>
    <row r="30" spans="1:7" ht="16">
      <c r="A30" s="90" t="s">
        <v>83</v>
      </c>
      <c r="B30" s="142" t="s">
        <v>124</v>
      </c>
      <c r="C30" s="92" t="s">
        <v>67</v>
      </c>
      <c r="D30" s="175">
        <f>'03.- Cubicaciones'!C31</f>
        <v>246.75</v>
      </c>
      <c r="E30" s="176">
        <f>+(23+2.1+8)*5</f>
        <v>165.5</v>
      </c>
      <c r="F30" s="187">
        <f t="shared" si="1"/>
        <v>-81.25</v>
      </c>
      <c r="G30" s="188">
        <f t="shared" si="0"/>
        <v>-0.49093655589123869</v>
      </c>
    </row>
    <row r="31" spans="1:7" ht="16">
      <c r="A31" s="90" t="s">
        <v>118</v>
      </c>
      <c r="B31" s="142" t="s">
        <v>125</v>
      </c>
      <c r="C31" s="92" t="s">
        <v>18</v>
      </c>
      <c r="D31" s="175">
        <f>'03.- Cubicaciones'!C32</f>
        <v>35</v>
      </c>
      <c r="E31" s="176">
        <f>8*5</f>
        <v>40</v>
      </c>
      <c r="F31" s="187">
        <f t="shared" si="1"/>
        <v>5</v>
      </c>
      <c r="G31" s="188">
        <f t="shared" si="0"/>
        <v>0.125</v>
      </c>
    </row>
    <row r="32" spans="1:7" ht="16">
      <c r="A32" s="90" t="s">
        <v>119</v>
      </c>
      <c r="B32" s="142" t="s">
        <v>161</v>
      </c>
      <c r="C32" s="92" t="s">
        <v>75</v>
      </c>
      <c r="D32" s="175">
        <f>'03.- Cubicaciones'!C33</f>
        <v>1963.7849999999999</v>
      </c>
      <c r="E32" s="176">
        <f>452*5*1.1</f>
        <v>2486</v>
      </c>
      <c r="F32" s="187">
        <f t="shared" si="1"/>
        <v>522.21500000000015</v>
      </c>
      <c r="G32" s="188">
        <f t="shared" si="0"/>
        <v>0.21006234915526956</v>
      </c>
    </row>
    <row r="33" spans="1:7" ht="16">
      <c r="A33" s="90" t="s">
        <v>120</v>
      </c>
      <c r="B33" s="142" t="s">
        <v>126</v>
      </c>
      <c r="C33" s="92" t="s">
        <v>76</v>
      </c>
      <c r="D33" s="175">
        <f>'03.- Cubicaciones'!C34</f>
        <v>280</v>
      </c>
      <c r="E33" s="176">
        <f>56*5</f>
        <v>280</v>
      </c>
      <c r="F33" s="187">
        <f t="shared" si="1"/>
        <v>0</v>
      </c>
      <c r="G33" s="188">
        <f t="shared" si="0"/>
        <v>0</v>
      </c>
    </row>
    <row r="34" spans="1:7" ht="16">
      <c r="A34" s="127">
        <v>7</v>
      </c>
      <c r="B34" s="128" t="s">
        <v>127</v>
      </c>
      <c r="C34" s="92"/>
      <c r="D34" s="175"/>
      <c r="E34" s="177"/>
      <c r="F34" s="177"/>
      <c r="G34" s="188"/>
    </row>
    <row r="35" spans="1:7" ht="16">
      <c r="A35" s="90" t="s">
        <v>66</v>
      </c>
      <c r="B35" s="142" t="s">
        <v>203</v>
      </c>
      <c r="C35" s="92" t="s">
        <v>67</v>
      </c>
      <c r="D35" s="175">
        <f>'03.- Cubicaciones'!C36</f>
        <v>20</v>
      </c>
      <c r="E35" s="176">
        <f>4*5</f>
        <v>20</v>
      </c>
      <c r="F35" s="187">
        <f>E35-D35</f>
        <v>0</v>
      </c>
      <c r="G35" s="188">
        <f t="shared" si="0"/>
        <v>0</v>
      </c>
    </row>
    <row r="36" spans="1:7" ht="16">
      <c r="A36" s="90" t="s">
        <v>84</v>
      </c>
      <c r="B36" s="142" t="s">
        <v>122</v>
      </c>
      <c r="C36" s="92" t="s">
        <v>67</v>
      </c>
      <c r="D36" s="175">
        <f>'03.- Cubicaciones'!C37</f>
        <v>2.5</v>
      </c>
      <c r="E36" s="176">
        <f>0.5*5</f>
        <v>2.5</v>
      </c>
      <c r="F36" s="187">
        <f>E36-D36</f>
        <v>0</v>
      </c>
      <c r="G36" s="188">
        <f t="shared" si="0"/>
        <v>0</v>
      </c>
    </row>
    <row r="37" spans="1:7" ht="16">
      <c r="A37" s="90" t="s">
        <v>85</v>
      </c>
      <c r="B37" s="142" t="s">
        <v>123</v>
      </c>
      <c r="C37" s="92" t="s">
        <v>67</v>
      </c>
      <c r="D37" s="175">
        <f>'03.- Cubicaciones'!C38</f>
        <v>24.377500000000005</v>
      </c>
      <c r="E37" s="176">
        <f>4*2.1</f>
        <v>8.4</v>
      </c>
      <c r="F37" s="187">
        <f>E37-D37</f>
        <v>-15.977500000000004</v>
      </c>
      <c r="G37" s="188">
        <f t="shared" si="0"/>
        <v>-1.9020833333333338</v>
      </c>
    </row>
    <row r="38" spans="1:7" ht="16">
      <c r="A38" s="90" t="s">
        <v>132</v>
      </c>
      <c r="B38" s="142" t="s">
        <v>124</v>
      </c>
      <c r="C38" s="92" t="s">
        <v>67</v>
      </c>
      <c r="D38" s="175">
        <f>'03.- Cubicaciones'!C39</f>
        <v>48.050000000000004</v>
      </c>
      <c r="E38" s="176">
        <f>4.5*5</f>
        <v>22.5</v>
      </c>
      <c r="F38" s="187">
        <f>E38-D38</f>
        <v>-25.550000000000004</v>
      </c>
      <c r="G38" s="188">
        <f t="shared" si="0"/>
        <v>-1.1355555555555557</v>
      </c>
    </row>
    <row r="39" spans="1:7" ht="16">
      <c r="A39" s="90" t="s">
        <v>133</v>
      </c>
      <c r="B39" s="142" t="s">
        <v>125</v>
      </c>
      <c r="C39" s="92" t="s">
        <v>18</v>
      </c>
      <c r="D39" s="175">
        <f>'03.- Cubicaciones'!C40</f>
        <v>95</v>
      </c>
      <c r="E39" s="176">
        <f>19*5</f>
        <v>95</v>
      </c>
      <c r="F39" s="187">
        <f t="shared" ref="F39:F99" si="2">E39-D39</f>
        <v>0</v>
      </c>
      <c r="G39" s="188">
        <f t="shared" si="0"/>
        <v>0</v>
      </c>
    </row>
    <row r="40" spans="1:7" ht="16">
      <c r="A40" s="90" t="s">
        <v>134</v>
      </c>
      <c r="B40" s="142" t="s">
        <v>161</v>
      </c>
      <c r="C40" s="92" t="s">
        <v>75</v>
      </c>
      <c r="D40" s="175">
        <f>'03.- Cubicaciones'!C41</f>
        <v>600</v>
      </c>
      <c r="E40" s="176">
        <f>12*5</f>
        <v>60</v>
      </c>
      <c r="F40" s="187">
        <f t="shared" si="2"/>
        <v>-540</v>
      </c>
      <c r="G40" s="188">
        <f t="shared" si="0"/>
        <v>-9</v>
      </c>
    </row>
    <row r="41" spans="1:7" ht="16">
      <c r="A41" s="90" t="s">
        <v>135</v>
      </c>
      <c r="B41" s="142" t="s">
        <v>126</v>
      </c>
      <c r="C41" s="92" t="s">
        <v>76</v>
      </c>
      <c r="D41" s="175">
        <f>'03.- Cubicaciones'!C42</f>
        <v>20</v>
      </c>
      <c r="E41" s="176">
        <f>4*5</f>
        <v>20</v>
      </c>
      <c r="F41" s="187">
        <f t="shared" si="2"/>
        <v>0</v>
      </c>
      <c r="G41" s="188">
        <f t="shared" si="0"/>
        <v>0</v>
      </c>
    </row>
    <row r="42" spans="1:7" ht="16">
      <c r="A42" s="90" t="s">
        <v>136</v>
      </c>
      <c r="B42" s="142" t="s">
        <v>128</v>
      </c>
      <c r="C42" s="92" t="s">
        <v>75</v>
      </c>
      <c r="D42" s="175">
        <f>'03.- Cubicaciones'!C43</f>
        <v>180</v>
      </c>
      <c r="E42" s="176">
        <f>36*5</f>
        <v>180</v>
      </c>
      <c r="F42" s="187">
        <f t="shared" si="2"/>
        <v>0</v>
      </c>
      <c r="G42" s="188">
        <f t="shared" si="0"/>
        <v>0</v>
      </c>
    </row>
    <row r="43" spans="1:7" ht="16">
      <c r="A43" s="90" t="s">
        <v>137</v>
      </c>
      <c r="B43" s="142" t="s">
        <v>129</v>
      </c>
      <c r="C43" s="92" t="s">
        <v>18</v>
      </c>
      <c r="D43" s="175">
        <f>'03.- Cubicaciones'!C44</f>
        <v>19</v>
      </c>
      <c r="E43" s="176">
        <f>3.8*5</f>
        <v>19</v>
      </c>
      <c r="F43" s="187">
        <f t="shared" si="2"/>
        <v>0</v>
      </c>
      <c r="G43" s="188">
        <f t="shared" si="0"/>
        <v>0</v>
      </c>
    </row>
    <row r="44" spans="1:7" ht="16">
      <c r="A44" s="90" t="s">
        <v>138</v>
      </c>
      <c r="B44" s="142" t="s">
        <v>130</v>
      </c>
      <c r="C44" s="92" t="s">
        <v>65</v>
      </c>
      <c r="D44" s="175">
        <f>'03.- Cubicaciones'!C45</f>
        <v>60</v>
      </c>
      <c r="E44" s="176">
        <f>12*5</f>
        <v>60</v>
      </c>
      <c r="F44" s="187">
        <f t="shared" si="2"/>
        <v>0</v>
      </c>
      <c r="G44" s="188">
        <f t="shared" si="0"/>
        <v>0</v>
      </c>
    </row>
    <row r="45" spans="1:7" ht="16">
      <c r="A45" s="90" t="s">
        <v>139</v>
      </c>
      <c r="B45" s="142" t="s">
        <v>131</v>
      </c>
      <c r="C45" s="92" t="s">
        <v>65</v>
      </c>
      <c r="D45" s="175">
        <f>'03.- Cubicaciones'!C46</f>
        <v>50</v>
      </c>
      <c r="E45" s="176">
        <f>10*5</f>
        <v>50</v>
      </c>
      <c r="F45" s="187">
        <f t="shared" si="2"/>
        <v>0</v>
      </c>
      <c r="G45" s="188">
        <f t="shared" si="0"/>
        <v>0</v>
      </c>
    </row>
    <row r="46" spans="1:7" ht="16">
      <c r="A46" s="127">
        <v>8</v>
      </c>
      <c r="B46" s="128" t="s">
        <v>140</v>
      </c>
      <c r="C46" s="92"/>
      <c r="D46" s="175"/>
      <c r="E46" s="177"/>
      <c r="F46" s="187"/>
      <c r="G46" s="188"/>
    </row>
    <row r="47" spans="1:7" ht="16">
      <c r="A47" s="90" t="s">
        <v>141</v>
      </c>
      <c r="B47" s="142" t="s">
        <v>121</v>
      </c>
      <c r="C47" s="92" t="s">
        <v>67</v>
      </c>
      <c r="D47" s="175">
        <f>'03.- Cubicaciones'!C48</f>
        <v>5.9159999999999995</v>
      </c>
      <c r="E47" s="176">
        <v>7.6</v>
      </c>
      <c r="F47" s="187">
        <f t="shared" si="2"/>
        <v>1.6840000000000002</v>
      </c>
      <c r="G47" s="188">
        <f t="shared" si="0"/>
        <v>0.2215789473684211</v>
      </c>
    </row>
    <row r="48" spans="1:7" ht="16">
      <c r="A48" s="90" t="s">
        <v>142</v>
      </c>
      <c r="B48" s="142" t="s">
        <v>122</v>
      </c>
      <c r="C48" s="92" t="s">
        <v>67</v>
      </c>
      <c r="D48" s="175">
        <f>'03.- Cubicaciones'!C49</f>
        <v>0.49299999999999999</v>
      </c>
      <c r="E48" s="176">
        <v>0.6</v>
      </c>
      <c r="F48" s="187">
        <f t="shared" si="2"/>
        <v>0.10699999999999998</v>
      </c>
      <c r="G48" s="188">
        <f t="shared" si="0"/>
        <v>0.17833333333333332</v>
      </c>
    </row>
    <row r="49" spans="1:7" ht="16">
      <c r="A49" s="90" t="s">
        <v>143</v>
      </c>
      <c r="B49" s="142" t="s">
        <v>123</v>
      </c>
      <c r="C49" s="92" t="s">
        <v>67</v>
      </c>
      <c r="D49" s="175">
        <f>'03.- Cubicaciones'!C50</f>
        <v>7.6415000000000006</v>
      </c>
      <c r="E49" s="176">
        <v>7.6</v>
      </c>
      <c r="F49" s="187">
        <f t="shared" si="2"/>
        <v>-4.1500000000000981E-2</v>
      </c>
      <c r="G49" s="188">
        <f t="shared" si="0"/>
        <v>-5.4605263157896031E-3</v>
      </c>
    </row>
    <row r="50" spans="1:7" ht="16">
      <c r="A50" s="90" t="s">
        <v>144</v>
      </c>
      <c r="B50" s="142" t="s">
        <v>124</v>
      </c>
      <c r="C50" s="92" t="s">
        <v>67</v>
      </c>
      <c r="D50" s="175">
        <f>'03.- Cubicaciones'!C51</f>
        <v>15.283000000000001</v>
      </c>
      <c r="E50" s="176">
        <f>+E49*2</f>
        <v>15.2</v>
      </c>
      <c r="F50" s="187">
        <f t="shared" si="2"/>
        <v>-8.3000000000001961E-2</v>
      </c>
      <c r="G50" s="188">
        <f t="shared" si="0"/>
        <v>-5.4605263157896031E-3</v>
      </c>
    </row>
    <row r="51" spans="1:7" ht="16">
      <c r="A51" s="90" t="s">
        <v>145</v>
      </c>
      <c r="B51" s="142" t="s">
        <v>125</v>
      </c>
      <c r="C51" s="92" t="s">
        <v>18</v>
      </c>
      <c r="D51" s="175">
        <f>'03.- Cubicaciones'!C52</f>
        <v>26.16</v>
      </c>
      <c r="E51" s="176">
        <v>34</v>
      </c>
      <c r="F51" s="187">
        <f t="shared" si="2"/>
        <v>7.84</v>
      </c>
      <c r="G51" s="188">
        <f t="shared" si="0"/>
        <v>0.23058823529411765</v>
      </c>
    </row>
    <row r="52" spans="1:7" ht="16">
      <c r="A52" s="90" t="s">
        <v>146</v>
      </c>
      <c r="B52" s="142" t="s">
        <v>161</v>
      </c>
      <c r="C52" s="92" t="s">
        <v>75</v>
      </c>
      <c r="D52" s="175">
        <f>'03.- Cubicaciones'!C53</f>
        <v>392</v>
      </c>
      <c r="E52" s="176">
        <v>500</v>
      </c>
      <c r="F52" s="187">
        <f t="shared" si="2"/>
        <v>108</v>
      </c>
      <c r="G52" s="188">
        <f t="shared" si="0"/>
        <v>0.216</v>
      </c>
    </row>
    <row r="53" spans="1:7" ht="16">
      <c r="A53" s="90" t="s">
        <v>147</v>
      </c>
      <c r="B53" s="142" t="s">
        <v>126</v>
      </c>
      <c r="C53" s="92" t="s">
        <v>76</v>
      </c>
      <c r="D53" s="175">
        <f>'03.- Cubicaciones'!C54</f>
        <v>64</v>
      </c>
      <c r="E53" s="176">
        <v>64</v>
      </c>
      <c r="F53" s="187">
        <f t="shared" si="2"/>
        <v>0</v>
      </c>
      <c r="G53" s="188">
        <f t="shared" si="0"/>
        <v>0</v>
      </c>
    </row>
    <row r="54" spans="1:7" ht="16">
      <c r="A54" s="127">
        <v>9</v>
      </c>
      <c r="B54" s="128" t="s">
        <v>148</v>
      </c>
      <c r="C54" s="92"/>
      <c r="D54" s="175"/>
      <c r="E54" s="177"/>
      <c r="F54" s="187"/>
      <c r="G54" s="188"/>
    </row>
    <row r="55" spans="1:7" ht="16">
      <c r="A55" s="90" t="s">
        <v>151</v>
      </c>
      <c r="B55" s="142" t="s">
        <v>150</v>
      </c>
      <c r="C55" s="92" t="s">
        <v>67</v>
      </c>
      <c r="D55" s="175">
        <f>'03.- Cubicaciones'!C56</f>
        <v>2.1120000000000001</v>
      </c>
      <c r="E55" s="176">
        <v>2.5</v>
      </c>
      <c r="F55" s="187">
        <f t="shared" si="2"/>
        <v>0.3879999999999999</v>
      </c>
      <c r="G55" s="188">
        <f t="shared" si="0"/>
        <v>0.15519999999999995</v>
      </c>
    </row>
    <row r="56" spans="1:7" ht="16">
      <c r="A56" s="90" t="s">
        <v>152</v>
      </c>
      <c r="B56" s="142" t="s">
        <v>122</v>
      </c>
      <c r="C56" s="92" t="s">
        <v>67</v>
      </c>
      <c r="D56" s="175">
        <f>'03.- Cubicaciones'!C57</f>
        <v>0.18049999999999999</v>
      </c>
      <c r="E56" s="176">
        <v>0.18</v>
      </c>
      <c r="F56" s="187">
        <f t="shared" si="2"/>
        <v>-5.0000000000000044E-4</v>
      </c>
      <c r="G56" s="188">
        <f t="shared" si="0"/>
        <v>-2.7777777777777805E-3</v>
      </c>
    </row>
    <row r="57" spans="1:7" ht="16">
      <c r="A57" s="90" t="s">
        <v>153</v>
      </c>
      <c r="B57" s="142" t="s">
        <v>128</v>
      </c>
      <c r="C57" s="92" t="s">
        <v>75</v>
      </c>
      <c r="D57" s="175">
        <f>'03.- Cubicaciones'!C58</f>
        <v>66</v>
      </c>
      <c r="E57" s="176">
        <v>66</v>
      </c>
      <c r="F57" s="187">
        <f t="shared" si="2"/>
        <v>0</v>
      </c>
      <c r="G57" s="188">
        <f t="shared" si="0"/>
        <v>0</v>
      </c>
    </row>
    <row r="58" spans="1:7" ht="16">
      <c r="A58" s="90" t="s">
        <v>154</v>
      </c>
      <c r="B58" s="142" t="s">
        <v>124</v>
      </c>
      <c r="C58" s="92" t="s">
        <v>67</v>
      </c>
      <c r="D58" s="175">
        <f>'03.- Cubicaciones'!C59</f>
        <v>6.1369999999999996</v>
      </c>
      <c r="E58" s="176">
        <v>6.4</v>
      </c>
      <c r="F58" s="187">
        <f t="shared" si="2"/>
        <v>0.26300000000000079</v>
      </c>
      <c r="G58" s="188">
        <f t="shared" si="0"/>
        <v>4.1093750000000123E-2</v>
      </c>
    </row>
    <row r="59" spans="1:7" ht="16">
      <c r="A59" s="90" t="s">
        <v>155</v>
      </c>
      <c r="B59" s="142" t="s">
        <v>125</v>
      </c>
      <c r="C59" s="92" t="s">
        <v>18</v>
      </c>
      <c r="D59" s="175">
        <f>'03.- Cubicaciones'!C60</f>
        <v>21.12</v>
      </c>
      <c r="E59" s="176">
        <v>26</v>
      </c>
      <c r="F59" s="187">
        <f t="shared" si="2"/>
        <v>4.879999999999999</v>
      </c>
      <c r="G59" s="188">
        <f t="shared" si="0"/>
        <v>0.18769230769230766</v>
      </c>
    </row>
    <row r="60" spans="1:7" ht="16">
      <c r="A60" s="90" t="s">
        <v>156</v>
      </c>
      <c r="B60" s="142" t="s">
        <v>149</v>
      </c>
      <c r="C60" s="92" t="s">
        <v>76</v>
      </c>
      <c r="D60" s="175">
        <f>'03.- Cubicaciones'!C61</f>
        <v>1</v>
      </c>
      <c r="E60" s="176">
        <v>1</v>
      </c>
      <c r="F60" s="187">
        <f t="shared" si="2"/>
        <v>0</v>
      </c>
      <c r="G60" s="188">
        <f t="shared" si="0"/>
        <v>0</v>
      </c>
    </row>
    <row r="61" spans="1:7" ht="16">
      <c r="A61" s="127">
        <v>10</v>
      </c>
      <c r="B61" s="128" t="s">
        <v>158</v>
      </c>
      <c r="C61" s="92"/>
      <c r="D61" s="175"/>
      <c r="E61" s="177"/>
      <c r="F61" s="187"/>
      <c r="G61" s="188"/>
    </row>
    <row r="62" spans="1:7" ht="16">
      <c r="A62" s="90" t="s">
        <v>157</v>
      </c>
      <c r="B62" s="142" t="s">
        <v>159</v>
      </c>
      <c r="C62" s="92" t="s">
        <v>67</v>
      </c>
      <c r="D62" s="175">
        <f>'03.- Cubicaciones'!C63</f>
        <v>4.4486000000000008</v>
      </c>
      <c r="E62" s="179">
        <f>4.85</f>
        <v>4.8499999999999996</v>
      </c>
      <c r="F62" s="187">
        <f t="shared" si="2"/>
        <v>0.40139999999999887</v>
      </c>
      <c r="G62" s="188">
        <f t="shared" si="0"/>
        <v>8.2762886597937915E-2</v>
      </c>
    </row>
    <row r="63" spans="1:7" ht="16">
      <c r="A63" s="90" t="s">
        <v>162</v>
      </c>
      <c r="B63" s="142" t="s">
        <v>122</v>
      </c>
      <c r="C63" s="92" t="s">
        <v>67</v>
      </c>
      <c r="D63" s="175">
        <f>'03.- Cubicaciones'!C64</f>
        <v>1.1121500000000002</v>
      </c>
      <c r="E63" s="176">
        <f>1.3</f>
        <v>1.3</v>
      </c>
      <c r="F63" s="187">
        <f t="shared" si="2"/>
        <v>0.18784999999999985</v>
      </c>
      <c r="G63" s="188">
        <f t="shared" si="0"/>
        <v>0.14449999999999988</v>
      </c>
    </row>
    <row r="64" spans="1:7" ht="16">
      <c r="A64" s="90" t="s">
        <v>163</v>
      </c>
      <c r="B64" s="142" t="s">
        <v>123</v>
      </c>
      <c r="C64" s="92" t="s">
        <v>67</v>
      </c>
      <c r="D64" s="175">
        <f>'03.- Cubicaciones'!C65</f>
        <v>16</v>
      </c>
      <c r="E64" s="176">
        <v>16</v>
      </c>
      <c r="F64" s="187">
        <f t="shared" si="2"/>
        <v>0</v>
      </c>
      <c r="G64" s="188">
        <f t="shared" si="0"/>
        <v>0</v>
      </c>
    </row>
    <row r="65" spans="1:7" ht="16">
      <c r="A65" s="90" t="s">
        <v>164</v>
      </c>
      <c r="B65" s="142" t="s">
        <v>124</v>
      </c>
      <c r="C65" s="92" t="s">
        <v>67</v>
      </c>
      <c r="D65" s="175">
        <f>'03.- Cubicaciones'!C66</f>
        <v>7.78505</v>
      </c>
      <c r="E65" s="176">
        <v>21</v>
      </c>
      <c r="F65" s="187">
        <f t="shared" si="2"/>
        <v>13.21495</v>
      </c>
      <c r="G65" s="188">
        <f t="shared" si="0"/>
        <v>0.62928333333333331</v>
      </c>
    </row>
    <row r="66" spans="1:7" ht="16">
      <c r="A66" s="90" t="s">
        <v>165</v>
      </c>
      <c r="B66" s="142" t="s">
        <v>125</v>
      </c>
      <c r="C66" s="92" t="s">
        <v>18</v>
      </c>
      <c r="D66" s="175">
        <f>'03.- Cubicaciones'!C67</f>
        <v>4.1960000000000006</v>
      </c>
      <c r="E66" s="176">
        <f>4.2</f>
        <v>4.2</v>
      </c>
      <c r="F66" s="187">
        <f t="shared" si="2"/>
        <v>3.9999999999995595E-3</v>
      </c>
      <c r="G66" s="188">
        <f t="shared" si="0"/>
        <v>9.5238095238084743E-4</v>
      </c>
    </row>
    <row r="67" spans="1:7" ht="16">
      <c r="A67" s="90" t="s">
        <v>166</v>
      </c>
      <c r="B67" s="142" t="s">
        <v>126</v>
      </c>
      <c r="C67" s="92" t="s">
        <v>76</v>
      </c>
      <c r="D67" s="175">
        <f>'03.- Cubicaciones'!C68</f>
        <v>10</v>
      </c>
      <c r="E67" s="176">
        <f>10</f>
        <v>10</v>
      </c>
      <c r="F67" s="187">
        <f t="shared" si="2"/>
        <v>0</v>
      </c>
      <c r="G67" s="188">
        <f t="shared" si="0"/>
        <v>0</v>
      </c>
    </row>
    <row r="68" spans="1:7" ht="16">
      <c r="A68" s="90" t="s">
        <v>167</v>
      </c>
      <c r="B68" s="142" t="s">
        <v>160</v>
      </c>
      <c r="C68" s="92" t="s">
        <v>76</v>
      </c>
      <c r="D68" s="175">
        <f>'03.- Cubicaciones'!C69</f>
        <v>21</v>
      </c>
      <c r="E68" s="176">
        <f>21</f>
        <v>21</v>
      </c>
      <c r="F68" s="187">
        <f t="shared" si="2"/>
        <v>0</v>
      </c>
      <c r="G68" s="188">
        <f t="shared" si="0"/>
        <v>0</v>
      </c>
    </row>
    <row r="69" spans="1:7" ht="16">
      <c r="A69" s="90" t="s">
        <v>168</v>
      </c>
      <c r="B69" s="142" t="s">
        <v>161</v>
      </c>
      <c r="C69" s="92" t="s">
        <v>75</v>
      </c>
      <c r="D69" s="175">
        <f>'03.- Cubicaciones'!C70</f>
        <v>149.916</v>
      </c>
      <c r="E69" s="176">
        <f>237</f>
        <v>237</v>
      </c>
      <c r="F69" s="187">
        <f t="shared" si="2"/>
        <v>87.084000000000003</v>
      </c>
      <c r="G69" s="188">
        <f t="shared" ref="G69:G132" si="3">F69/E69</f>
        <v>0.36744303797468358</v>
      </c>
    </row>
    <row r="70" spans="1:7" ht="16">
      <c r="A70" s="127">
        <v>11</v>
      </c>
      <c r="B70" s="128" t="s">
        <v>184</v>
      </c>
      <c r="C70" s="92"/>
      <c r="D70" s="175"/>
      <c r="E70" s="177"/>
      <c r="F70" s="187"/>
      <c r="G70" s="188"/>
    </row>
    <row r="71" spans="1:7" ht="16">
      <c r="A71" s="90" t="s">
        <v>172</v>
      </c>
      <c r="B71" s="142" t="s">
        <v>173</v>
      </c>
      <c r="C71" s="92" t="s">
        <v>76</v>
      </c>
      <c r="D71" s="175">
        <f>'03.- Cubicaciones'!C72</f>
        <v>1</v>
      </c>
      <c r="E71" s="180">
        <v>1</v>
      </c>
      <c r="F71" s="187">
        <f t="shared" si="2"/>
        <v>0</v>
      </c>
      <c r="G71" s="188">
        <f t="shared" si="3"/>
        <v>0</v>
      </c>
    </row>
    <row r="72" spans="1:7" ht="16">
      <c r="A72" s="90" t="s">
        <v>169</v>
      </c>
      <c r="B72" s="142" t="s">
        <v>174</v>
      </c>
      <c r="C72" s="92" t="s">
        <v>65</v>
      </c>
      <c r="D72" s="175">
        <f>'03.- Cubicaciones'!C73</f>
        <v>3</v>
      </c>
      <c r="E72" s="180">
        <v>3</v>
      </c>
      <c r="F72" s="187">
        <f t="shared" si="2"/>
        <v>0</v>
      </c>
      <c r="G72" s="188">
        <f t="shared" si="3"/>
        <v>0</v>
      </c>
    </row>
    <row r="73" spans="1:7" ht="16">
      <c r="A73" s="90" t="s">
        <v>170</v>
      </c>
      <c r="B73" s="142" t="s">
        <v>175</v>
      </c>
      <c r="C73" s="92" t="s">
        <v>67</v>
      </c>
      <c r="D73" s="175">
        <f>'03.- Cubicaciones'!C74</f>
        <v>1.8</v>
      </c>
      <c r="E73" s="180">
        <v>1.8</v>
      </c>
      <c r="F73" s="187">
        <f t="shared" si="2"/>
        <v>0</v>
      </c>
      <c r="G73" s="188">
        <f t="shared" si="3"/>
        <v>0</v>
      </c>
    </row>
    <row r="74" spans="1:7" ht="16">
      <c r="A74" s="90" t="s">
        <v>171</v>
      </c>
      <c r="B74" s="142" t="s">
        <v>176</v>
      </c>
      <c r="C74" s="92" t="s">
        <v>67</v>
      </c>
      <c r="D74" s="175">
        <f>'03.- Cubicaciones'!C75</f>
        <v>3.2</v>
      </c>
      <c r="E74" s="180">
        <v>3.2</v>
      </c>
      <c r="F74" s="187">
        <f t="shared" si="2"/>
        <v>0</v>
      </c>
      <c r="G74" s="188">
        <f t="shared" si="3"/>
        <v>0</v>
      </c>
    </row>
    <row r="75" spans="1:7" ht="16">
      <c r="A75" s="127">
        <v>12</v>
      </c>
      <c r="B75" s="128" t="s">
        <v>185</v>
      </c>
      <c r="C75" s="92"/>
      <c r="D75" s="175"/>
      <c r="E75" s="177"/>
      <c r="F75" s="187"/>
      <c r="G75" s="188"/>
    </row>
    <row r="76" spans="1:7" ht="16">
      <c r="A76" s="90" t="s">
        <v>178</v>
      </c>
      <c r="B76" s="142" t="s">
        <v>150</v>
      </c>
      <c r="C76" s="92" t="s">
        <v>67</v>
      </c>
      <c r="D76" s="175">
        <f>'03.- Cubicaciones'!C77</f>
        <v>1.2</v>
      </c>
      <c r="E76" s="176">
        <v>1.2</v>
      </c>
      <c r="F76" s="187">
        <f t="shared" si="2"/>
        <v>0</v>
      </c>
      <c r="G76" s="188">
        <f t="shared" si="3"/>
        <v>0</v>
      </c>
    </row>
    <row r="77" spans="1:7" ht="16">
      <c r="A77" s="90" t="s">
        <v>179</v>
      </c>
      <c r="B77" s="142" t="s">
        <v>122</v>
      </c>
      <c r="C77" s="92" t="s">
        <v>67</v>
      </c>
      <c r="D77" s="175">
        <f>'03.- Cubicaciones'!C78</f>
        <v>0.1</v>
      </c>
      <c r="E77" s="176">
        <v>0.1</v>
      </c>
      <c r="F77" s="187">
        <f t="shared" si="2"/>
        <v>0</v>
      </c>
      <c r="G77" s="188">
        <f t="shared" si="3"/>
        <v>0</v>
      </c>
    </row>
    <row r="78" spans="1:7" ht="16">
      <c r="A78" s="90" t="s">
        <v>180</v>
      </c>
      <c r="B78" s="142" t="s">
        <v>124</v>
      </c>
      <c r="C78" s="92" t="s">
        <v>67</v>
      </c>
      <c r="D78" s="175">
        <f>'03.- Cubicaciones'!C79</f>
        <v>1.3</v>
      </c>
      <c r="E78" s="176">
        <v>1.3</v>
      </c>
      <c r="F78" s="187">
        <f t="shared" si="2"/>
        <v>0</v>
      </c>
      <c r="G78" s="188">
        <f t="shared" si="3"/>
        <v>0</v>
      </c>
    </row>
    <row r="79" spans="1:7" ht="16">
      <c r="A79" s="90" t="s">
        <v>181</v>
      </c>
      <c r="B79" s="142" t="s">
        <v>125</v>
      </c>
      <c r="C79" s="92" t="s">
        <v>18</v>
      </c>
      <c r="D79" s="175">
        <f>'03.- Cubicaciones'!C80</f>
        <v>17.3</v>
      </c>
      <c r="E79" s="176">
        <v>17.3</v>
      </c>
      <c r="F79" s="187">
        <f t="shared" si="2"/>
        <v>0</v>
      </c>
      <c r="G79" s="188">
        <f t="shared" si="3"/>
        <v>0</v>
      </c>
    </row>
    <row r="80" spans="1:7" ht="16">
      <c r="A80" s="90" t="s">
        <v>182</v>
      </c>
      <c r="B80" s="142" t="s">
        <v>128</v>
      </c>
      <c r="C80" s="92" t="s">
        <v>75</v>
      </c>
      <c r="D80" s="175">
        <f>'03.- Cubicaciones'!C81</f>
        <v>35</v>
      </c>
      <c r="E80" s="176">
        <v>35</v>
      </c>
      <c r="F80" s="187">
        <f t="shared" si="2"/>
        <v>0</v>
      </c>
      <c r="G80" s="188">
        <f t="shared" si="3"/>
        <v>0</v>
      </c>
    </row>
    <row r="81" spans="1:7" ht="16">
      <c r="A81" s="90" t="s">
        <v>183</v>
      </c>
      <c r="B81" s="142" t="s">
        <v>177</v>
      </c>
      <c r="C81" s="92" t="s">
        <v>65</v>
      </c>
      <c r="D81" s="175">
        <f>'03.- Cubicaciones'!C82</f>
        <v>32</v>
      </c>
      <c r="E81" s="176">
        <v>32</v>
      </c>
      <c r="F81" s="187">
        <f t="shared" si="2"/>
        <v>0</v>
      </c>
      <c r="G81" s="188">
        <f t="shared" si="3"/>
        <v>0</v>
      </c>
    </row>
    <row r="82" spans="1:7" ht="16">
      <c r="A82" s="127">
        <v>13</v>
      </c>
      <c r="B82" s="128" t="s">
        <v>186</v>
      </c>
      <c r="C82" s="92"/>
      <c r="D82" s="175"/>
      <c r="E82" s="177"/>
      <c r="F82" s="187"/>
      <c r="G82" s="188"/>
    </row>
    <row r="83" spans="1:7" ht="16">
      <c r="A83" s="90" t="s">
        <v>195</v>
      </c>
      <c r="B83" s="142" t="s">
        <v>187</v>
      </c>
      <c r="C83" s="92" t="s">
        <v>67</v>
      </c>
      <c r="D83" s="175">
        <f>'03.- Cubicaciones'!C84</f>
        <v>14.4</v>
      </c>
      <c r="E83" s="176">
        <v>14.4</v>
      </c>
      <c r="F83" s="187">
        <f t="shared" si="2"/>
        <v>0</v>
      </c>
      <c r="G83" s="188">
        <f t="shared" si="3"/>
        <v>0</v>
      </c>
    </row>
    <row r="84" spans="1:7" ht="16">
      <c r="A84" s="90" t="s">
        <v>196</v>
      </c>
      <c r="B84" s="142" t="s">
        <v>188</v>
      </c>
      <c r="C84" s="92" t="s">
        <v>67</v>
      </c>
      <c r="D84" s="175">
        <f>'03.- Cubicaciones'!C85</f>
        <v>2.5</v>
      </c>
      <c r="E84" s="176">
        <v>2.5</v>
      </c>
      <c r="F84" s="187">
        <f t="shared" si="2"/>
        <v>0</v>
      </c>
      <c r="G84" s="188">
        <f t="shared" si="3"/>
        <v>0</v>
      </c>
    </row>
    <row r="85" spans="1:7" ht="16">
      <c r="A85" s="90" t="s">
        <v>197</v>
      </c>
      <c r="B85" s="142" t="s">
        <v>189</v>
      </c>
      <c r="C85" s="92" t="s">
        <v>76</v>
      </c>
      <c r="D85" s="175">
        <f>'03.- Cubicaciones'!C86</f>
        <v>48</v>
      </c>
      <c r="E85" s="176">
        <v>48</v>
      </c>
      <c r="F85" s="187">
        <f t="shared" si="2"/>
        <v>0</v>
      </c>
      <c r="G85" s="188">
        <f t="shared" si="3"/>
        <v>0</v>
      </c>
    </row>
    <row r="86" spans="1:7" ht="16">
      <c r="A86" s="90" t="s">
        <v>198</v>
      </c>
      <c r="B86" s="142" t="s">
        <v>190</v>
      </c>
      <c r="C86" s="92" t="s">
        <v>67</v>
      </c>
      <c r="D86" s="175">
        <f>'03.- Cubicaciones'!C87</f>
        <v>15</v>
      </c>
      <c r="E86" s="176">
        <v>15</v>
      </c>
      <c r="F86" s="187">
        <f t="shared" si="2"/>
        <v>0</v>
      </c>
      <c r="G86" s="188">
        <f t="shared" si="3"/>
        <v>0</v>
      </c>
    </row>
    <row r="87" spans="1:7" ht="16">
      <c r="A87" s="90" t="s">
        <v>199</v>
      </c>
      <c r="B87" s="142" t="s">
        <v>191</v>
      </c>
      <c r="C87" s="92" t="s">
        <v>65</v>
      </c>
      <c r="D87" s="175">
        <f>'03.- Cubicaciones'!C88</f>
        <v>36</v>
      </c>
      <c r="E87" s="176">
        <v>36</v>
      </c>
      <c r="F87" s="187">
        <f t="shared" si="2"/>
        <v>0</v>
      </c>
      <c r="G87" s="188">
        <f t="shared" si="3"/>
        <v>0</v>
      </c>
    </row>
    <row r="88" spans="1:7" ht="16">
      <c r="A88" s="90" t="s">
        <v>200</v>
      </c>
      <c r="B88" s="142" t="s">
        <v>192</v>
      </c>
      <c r="C88" s="92" t="s">
        <v>76</v>
      </c>
      <c r="D88" s="175">
        <f>'03.- Cubicaciones'!C89</f>
        <v>5</v>
      </c>
      <c r="E88" s="176">
        <v>5</v>
      </c>
      <c r="F88" s="187">
        <f t="shared" si="2"/>
        <v>0</v>
      </c>
      <c r="G88" s="188">
        <f t="shared" si="3"/>
        <v>0</v>
      </c>
    </row>
    <row r="89" spans="1:7" ht="16">
      <c r="A89" s="90" t="s">
        <v>201</v>
      </c>
      <c r="B89" s="142" t="s">
        <v>193</v>
      </c>
      <c r="C89" s="92" t="s">
        <v>18</v>
      </c>
      <c r="D89" s="175">
        <f>'03.- Cubicaciones'!C90</f>
        <v>29</v>
      </c>
      <c r="E89" s="176">
        <v>29</v>
      </c>
      <c r="F89" s="187">
        <f t="shared" si="2"/>
        <v>0</v>
      </c>
      <c r="G89" s="188">
        <f t="shared" si="3"/>
        <v>0</v>
      </c>
    </row>
    <row r="90" spans="1:7" ht="16">
      <c r="A90" s="90" t="s">
        <v>202</v>
      </c>
      <c r="B90" s="142" t="s">
        <v>194</v>
      </c>
      <c r="C90" s="92" t="s">
        <v>65</v>
      </c>
      <c r="D90" s="175">
        <f>'03.- Cubicaciones'!C91</f>
        <v>6</v>
      </c>
      <c r="E90" s="176">
        <v>6</v>
      </c>
      <c r="F90" s="187">
        <f t="shared" si="2"/>
        <v>0</v>
      </c>
      <c r="G90" s="188">
        <f t="shared" si="3"/>
        <v>0</v>
      </c>
    </row>
    <row r="91" spans="1:7" ht="16">
      <c r="A91" s="127">
        <v>14</v>
      </c>
      <c r="B91" s="128" t="s">
        <v>575</v>
      </c>
      <c r="C91" s="92"/>
      <c r="D91" s="175"/>
      <c r="E91" s="177"/>
      <c r="F91" s="187"/>
      <c r="G91" s="188"/>
    </row>
    <row r="92" spans="1:7" ht="16">
      <c r="A92" s="90" t="s">
        <v>205</v>
      </c>
      <c r="B92" s="142" t="s">
        <v>203</v>
      </c>
      <c r="C92" s="92" t="s">
        <v>67</v>
      </c>
      <c r="D92" s="175">
        <f>'03.- Cubicaciones'!C93</f>
        <v>2.94</v>
      </c>
      <c r="E92" s="176">
        <v>2.94</v>
      </c>
      <c r="F92" s="187">
        <f t="shared" si="2"/>
        <v>0</v>
      </c>
      <c r="G92" s="188">
        <f t="shared" si="3"/>
        <v>0</v>
      </c>
    </row>
    <row r="93" spans="1:7" ht="16">
      <c r="A93" s="90" t="s">
        <v>206</v>
      </c>
      <c r="B93" s="142" t="s">
        <v>122</v>
      </c>
      <c r="C93" s="92" t="s">
        <v>67</v>
      </c>
      <c r="D93" s="175">
        <f>'03.- Cubicaciones'!C94</f>
        <v>0.25</v>
      </c>
      <c r="E93" s="176">
        <v>0.25</v>
      </c>
      <c r="F93" s="187">
        <f t="shared" si="2"/>
        <v>0</v>
      </c>
      <c r="G93" s="188">
        <f t="shared" si="3"/>
        <v>0</v>
      </c>
    </row>
    <row r="94" spans="1:7" ht="16">
      <c r="A94" s="90" t="s">
        <v>207</v>
      </c>
      <c r="B94" s="142" t="s">
        <v>123</v>
      </c>
      <c r="C94" s="92" t="s">
        <v>67</v>
      </c>
      <c r="D94" s="175">
        <f>'03.- Cubicaciones'!C95</f>
        <v>7.865000000000002</v>
      </c>
      <c r="E94" s="176">
        <v>6.5</v>
      </c>
      <c r="F94" s="187">
        <f t="shared" si="2"/>
        <v>-1.365000000000002</v>
      </c>
      <c r="G94" s="188">
        <f t="shared" si="3"/>
        <v>-0.2100000000000003</v>
      </c>
    </row>
    <row r="95" spans="1:7" ht="16">
      <c r="A95" s="90" t="s">
        <v>208</v>
      </c>
      <c r="B95" s="142" t="s">
        <v>124</v>
      </c>
      <c r="C95" s="92" t="s">
        <v>67</v>
      </c>
      <c r="D95" s="175">
        <f>'03.- Cubicaciones'!C96</f>
        <v>12.705000000000004</v>
      </c>
      <c r="E95" s="176">
        <v>8</v>
      </c>
      <c r="F95" s="187">
        <f t="shared" si="2"/>
        <v>-4.7050000000000036</v>
      </c>
      <c r="G95" s="188">
        <f t="shared" si="3"/>
        <v>-0.58812500000000045</v>
      </c>
    </row>
    <row r="96" spans="1:7" ht="16">
      <c r="A96" s="90" t="s">
        <v>209</v>
      </c>
      <c r="B96" s="142" t="s">
        <v>125</v>
      </c>
      <c r="C96" s="92" t="s">
        <v>18</v>
      </c>
      <c r="D96" s="175">
        <f>'03.- Cubicaciones'!C97</f>
        <v>17</v>
      </c>
      <c r="E96" s="176">
        <v>17</v>
      </c>
      <c r="F96" s="187">
        <f t="shared" si="2"/>
        <v>0</v>
      </c>
      <c r="G96" s="188">
        <f t="shared" si="3"/>
        <v>0</v>
      </c>
    </row>
    <row r="97" spans="1:7" ht="16">
      <c r="A97" s="90" t="s">
        <v>210</v>
      </c>
      <c r="B97" s="142" t="s">
        <v>161</v>
      </c>
      <c r="C97" s="92" t="s">
        <v>75</v>
      </c>
      <c r="D97" s="175">
        <f>'03.- Cubicaciones'!C98</f>
        <v>150</v>
      </c>
      <c r="E97" s="176">
        <v>10</v>
      </c>
      <c r="F97" s="187">
        <f t="shared" si="2"/>
        <v>-140</v>
      </c>
      <c r="G97" s="188">
        <f t="shared" si="3"/>
        <v>-14</v>
      </c>
    </row>
    <row r="98" spans="1:7" ht="16">
      <c r="A98" s="90" t="s">
        <v>211</v>
      </c>
      <c r="B98" s="142" t="s">
        <v>126</v>
      </c>
      <c r="C98" s="92" t="s">
        <v>76</v>
      </c>
      <c r="D98" s="175">
        <f>'03.- Cubicaciones'!C99</f>
        <v>10</v>
      </c>
      <c r="E98" s="176">
        <v>10</v>
      </c>
      <c r="F98" s="187">
        <f t="shared" si="2"/>
        <v>0</v>
      </c>
      <c r="G98" s="188">
        <f t="shared" si="3"/>
        <v>0</v>
      </c>
    </row>
    <row r="99" spans="1:7" ht="16">
      <c r="A99" s="90" t="s">
        <v>212</v>
      </c>
      <c r="B99" s="142" t="s">
        <v>204</v>
      </c>
      <c r="C99" s="92" t="s">
        <v>76</v>
      </c>
      <c r="D99" s="175">
        <f>'03.- Cubicaciones'!C100</f>
        <v>10</v>
      </c>
      <c r="E99" s="176">
        <v>10</v>
      </c>
      <c r="F99" s="187">
        <f t="shared" si="2"/>
        <v>0</v>
      </c>
      <c r="G99" s="188">
        <f t="shared" si="3"/>
        <v>0</v>
      </c>
    </row>
    <row r="100" spans="1:7" ht="16">
      <c r="A100" s="90"/>
      <c r="B100" s="142"/>
      <c r="C100" s="92"/>
      <c r="D100" s="175"/>
      <c r="E100" s="176"/>
      <c r="F100" s="187"/>
      <c r="G100" s="188"/>
    </row>
    <row r="101" spans="1:7" ht="16">
      <c r="A101" s="84"/>
      <c r="B101" s="141" t="s">
        <v>213</v>
      </c>
      <c r="C101" s="86"/>
      <c r="D101" s="183"/>
      <c r="E101" s="178"/>
      <c r="F101" s="187"/>
      <c r="G101" s="188"/>
    </row>
    <row r="102" spans="1:7" ht="16">
      <c r="A102" s="127">
        <v>15</v>
      </c>
      <c r="B102" s="128" t="s">
        <v>214</v>
      </c>
      <c r="C102" s="92"/>
      <c r="D102" s="175"/>
      <c r="E102" s="177"/>
      <c r="F102" s="187"/>
      <c r="G102" s="188"/>
    </row>
    <row r="103" spans="1:7" ht="16">
      <c r="A103" s="90" t="s">
        <v>226</v>
      </c>
      <c r="B103" s="142" t="s">
        <v>215</v>
      </c>
      <c r="C103" s="92" t="s">
        <v>75</v>
      </c>
      <c r="D103" s="175">
        <f>'03.- Cubicaciones'!C104</f>
        <v>845.25</v>
      </c>
      <c r="E103" s="176">
        <f>161*5*1.05</f>
        <v>845.25</v>
      </c>
      <c r="F103" s="187">
        <f t="shared" ref="F103:F164" si="4">E103-D103</f>
        <v>0</v>
      </c>
      <c r="G103" s="188">
        <f t="shared" si="3"/>
        <v>0</v>
      </c>
    </row>
    <row r="104" spans="1:7" ht="16">
      <c r="A104" s="127">
        <v>16</v>
      </c>
      <c r="B104" s="128" t="s">
        <v>216</v>
      </c>
      <c r="C104" s="92"/>
      <c r="D104" s="175"/>
      <c r="E104" s="177"/>
      <c r="F104" s="187"/>
      <c r="G104" s="188"/>
    </row>
    <row r="105" spans="1:7" ht="16">
      <c r="A105" s="90" t="s">
        <v>227</v>
      </c>
      <c r="B105" s="142" t="s">
        <v>217</v>
      </c>
      <c r="C105" s="92" t="s">
        <v>76</v>
      </c>
      <c r="D105" s="175">
        <f>'03.- Cubicaciones'!C106</f>
        <v>1</v>
      </c>
      <c r="E105" s="179">
        <v>1</v>
      </c>
      <c r="F105" s="187">
        <f t="shared" si="4"/>
        <v>0</v>
      </c>
      <c r="G105" s="188">
        <f t="shared" si="3"/>
        <v>0</v>
      </c>
    </row>
    <row r="106" spans="1:7" ht="16">
      <c r="A106" s="127">
        <v>17</v>
      </c>
      <c r="B106" s="128" t="s">
        <v>218</v>
      </c>
      <c r="C106" s="92"/>
      <c r="D106" s="175"/>
      <c r="E106" s="177"/>
      <c r="F106" s="187"/>
      <c r="G106" s="188"/>
    </row>
    <row r="107" spans="1:7" ht="16">
      <c r="A107" s="90" t="s">
        <v>228</v>
      </c>
      <c r="B107" s="142" t="s">
        <v>219</v>
      </c>
      <c r="C107" s="92" t="s">
        <v>75</v>
      </c>
      <c r="D107" s="175">
        <f>'03.- Cubicaciones'!C108</f>
        <v>935</v>
      </c>
      <c r="E107" s="179">
        <f>(22*2+13)*17</f>
        <v>969</v>
      </c>
      <c r="F107" s="187">
        <f t="shared" si="4"/>
        <v>34</v>
      </c>
      <c r="G107" s="188">
        <f t="shared" si="3"/>
        <v>3.5087719298245612E-2</v>
      </c>
    </row>
    <row r="108" spans="1:7" ht="16">
      <c r="A108" s="90" t="s">
        <v>229</v>
      </c>
      <c r="B108" s="142" t="s">
        <v>220</v>
      </c>
      <c r="C108" s="92" t="s">
        <v>75</v>
      </c>
      <c r="D108" s="175">
        <f>'03.- Cubicaciones'!C109</f>
        <v>116</v>
      </c>
      <c r="E108" s="179">
        <v>35</v>
      </c>
      <c r="F108" s="187">
        <f t="shared" si="4"/>
        <v>-81</v>
      </c>
      <c r="G108" s="188">
        <f t="shared" si="3"/>
        <v>-2.3142857142857145</v>
      </c>
    </row>
    <row r="109" spans="1:7" ht="16">
      <c r="A109" s="90" t="s">
        <v>230</v>
      </c>
      <c r="B109" s="142" t="s">
        <v>221</v>
      </c>
      <c r="C109" s="92" t="s">
        <v>75</v>
      </c>
      <c r="D109" s="175">
        <f>'03.- Cubicaciones'!C110</f>
        <v>292</v>
      </c>
      <c r="E109" s="179">
        <f>8.4*35</f>
        <v>294</v>
      </c>
      <c r="F109" s="187">
        <f t="shared" si="4"/>
        <v>2</v>
      </c>
      <c r="G109" s="188">
        <f t="shared" si="3"/>
        <v>6.8027210884353739E-3</v>
      </c>
    </row>
    <row r="110" spans="1:7" ht="16">
      <c r="A110" s="90" t="s">
        <v>231</v>
      </c>
      <c r="B110" s="142" t="s">
        <v>222</v>
      </c>
      <c r="C110" s="92" t="s">
        <v>76</v>
      </c>
      <c r="D110" s="175">
        <f>'03.- Cubicaciones'!C111</f>
        <v>20</v>
      </c>
      <c r="E110" s="179">
        <v>20</v>
      </c>
      <c r="F110" s="187">
        <f t="shared" si="4"/>
        <v>0</v>
      </c>
      <c r="G110" s="188">
        <f t="shared" si="3"/>
        <v>0</v>
      </c>
    </row>
    <row r="111" spans="1:7" ht="16">
      <c r="A111" s="127">
        <v>18</v>
      </c>
      <c r="B111" s="128" t="s">
        <v>223</v>
      </c>
      <c r="C111" s="92"/>
      <c r="D111" s="175"/>
      <c r="E111" s="177"/>
      <c r="F111" s="187"/>
      <c r="G111" s="188"/>
    </row>
    <row r="112" spans="1:7" ht="16">
      <c r="A112" s="90" t="s">
        <v>232</v>
      </c>
      <c r="B112" s="142" t="s">
        <v>224</v>
      </c>
      <c r="C112" s="92" t="s">
        <v>75</v>
      </c>
      <c r="D112" s="175">
        <f>'03.- Cubicaciones'!C113</f>
        <v>92.399999999999991</v>
      </c>
      <c r="E112" s="176">
        <f>6*0.7*2*10*1.1</f>
        <v>92.399999999999991</v>
      </c>
      <c r="F112" s="187">
        <f t="shared" si="4"/>
        <v>0</v>
      </c>
      <c r="G112" s="188">
        <f t="shared" si="3"/>
        <v>0</v>
      </c>
    </row>
    <row r="113" spans="1:7" ht="16">
      <c r="A113" s="90" t="s">
        <v>233</v>
      </c>
      <c r="B113" s="142" t="s">
        <v>225</v>
      </c>
      <c r="C113" s="92" t="s">
        <v>76</v>
      </c>
      <c r="D113" s="175">
        <f>'03.- Cubicaciones'!C114</f>
        <v>80</v>
      </c>
      <c r="E113" s="176">
        <f>4*10*2</f>
        <v>80</v>
      </c>
      <c r="F113" s="187">
        <f t="shared" si="4"/>
        <v>0</v>
      </c>
      <c r="G113" s="188">
        <f t="shared" si="3"/>
        <v>0</v>
      </c>
    </row>
    <row r="114" spans="1:7" ht="16">
      <c r="A114" s="90"/>
      <c r="B114" s="142"/>
      <c r="C114" s="92"/>
      <c r="D114" s="175"/>
      <c r="E114" s="176"/>
      <c r="F114" s="187"/>
      <c r="G114" s="188"/>
    </row>
    <row r="115" spans="1:7" ht="16">
      <c r="A115" s="84"/>
      <c r="B115" s="141" t="s">
        <v>234</v>
      </c>
      <c r="C115" s="86"/>
      <c r="D115" s="183"/>
      <c r="E115" s="178"/>
      <c r="F115" s="187"/>
      <c r="G115" s="188"/>
    </row>
    <row r="116" spans="1:7" ht="16">
      <c r="A116" s="127">
        <v>19</v>
      </c>
      <c r="B116" s="128" t="s">
        <v>235</v>
      </c>
      <c r="C116" s="92"/>
      <c r="D116" s="175"/>
      <c r="E116" s="177"/>
      <c r="F116" s="187"/>
      <c r="G116" s="188"/>
    </row>
    <row r="117" spans="1:7" ht="16">
      <c r="A117" s="90" t="s">
        <v>243</v>
      </c>
      <c r="B117" s="142" t="s">
        <v>236</v>
      </c>
      <c r="C117" s="92" t="s">
        <v>67</v>
      </c>
      <c r="D117" s="175">
        <f>'03.- Cubicaciones'!C118</f>
        <v>26.554499999999997</v>
      </c>
      <c r="E117" s="176">
        <v>58.656000000000006</v>
      </c>
      <c r="F117" s="187">
        <f t="shared" si="4"/>
        <v>32.101500000000009</v>
      </c>
      <c r="G117" s="188">
        <f t="shared" si="3"/>
        <v>0.54728416530278245</v>
      </c>
    </row>
    <row r="118" spans="1:7" ht="16">
      <c r="A118" s="90" t="s">
        <v>244</v>
      </c>
      <c r="B118" s="142" t="s">
        <v>237</v>
      </c>
      <c r="C118" s="92" t="s">
        <v>67</v>
      </c>
      <c r="D118" s="175">
        <f>'03.- Cubicaciones'!C119</f>
        <v>5.4749999999999996</v>
      </c>
      <c r="E118" s="176">
        <v>18.611999999999998</v>
      </c>
      <c r="F118" s="187">
        <f t="shared" si="4"/>
        <v>13.136999999999999</v>
      </c>
      <c r="G118" s="188">
        <f t="shared" si="3"/>
        <v>0.70583494519664736</v>
      </c>
    </row>
    <row r="119" spans="1:7" ht="16">
      <c r="A119" s="90" t="s">
        <v>245</v>
      </c>
      <c r="B119" s="142" t="s">
        <v>122</v>
      </c>
      <c r="C119" s="92" t="s">
        <v>67</v>
      </c>
      <c r="D119" s="175">
        <f>'03.- Cubicaciones'!C120</f>
        <v>2.0519999999999996</v>
      </c>
      <c r="E119" s="176">
        <v>4.6800000000000006</v>
      </c>
      <c r="F119" s="187">
        <f t="shared" si="4"/>
        <v>2.628000000000001</v>
      </c>
      <c r="G119" s="188">
        <f t="shared" si="3"/>
        <v>0.56153846153846165</v>
      </c>
    </row>
    <row r="120" spans="1:7" ht="16">
      <c r="A120" s="90" t="s">
        <v>246</v>
      </c>
      <c r="B120" s="142" t="s">
        <v>238</v>
      </c>
      <c r="C120" s="92" t="s">
        <v>67</v>
      </c>
      <c r="D120" s="175">
        <f>'03.- Cubicaciones'!C121</f>
        <v>68.903999999999996</v>
      </c>
      <c r="E120" s="176">
        <v>306.72000000000003</v>
      </c>
      <c r="F120" s="187">
        <f t="shared" si="4"/>
        <v>237.81600000000003</v>
      </c>
      <c r="G120" s="188">
        <f t="shared" si="3"/>
        <v>0.77535211267605642</v>
      </c>
    </row>
    <row r="121" spans="1:7" ht="16">
      <c r="A121" s="90" t="s">
        <v>247</v>
      </c>
      <c r="B121" s="142" t="s">
        <v>239</v>
      </c>
      <c r="C121" s="92" t="s">
        <v>18</v>
      </c>
      <c r="D121" s="175">
        <f>'03.- Cubicaciones'!C122</f>
        <v>93.72</v>
      </c>
      <c r="E121" s="176">
        <v>102.4</v>
      </c>
      <c r="F121" s="187">
        <f t="shared" si="4"/>
        <v>8.6800000000000068</v>
      </c>
      <c r="G121" s="188">
        <f t="shared" si="3"/>
        <v>8.4765625000000067E-2</v>
      </c>
    </row>
    <row r="122" spans="1:7" ht="16">
      <c r="A122" s="90" t="s">
        <v>248</v>
      </c>
      <c r="B122" s="142" t="s">
        <v>240</v>
      </c>
      <c r="C122" s="92" t="s">
        <v>67</v>
      </c>
      <c r="D122" s="175">
        <f>'03.- Cubicaciones'!C123</f>
        <v>54.32</v>
      </c>
      <c r="E122" s="176">
        <v>76.680000000000007</v>
      </c>
      <c r="F122" s="187">
        <f t="shared" si="4"/>
        <v>22.360000000000007</v>
      </c>
      <c r="G122" s="188">
        <f t="shared" si="3"/>
        <v>0.2916014606155452</v>
      </c>
    </row>
    <row r="123" spans="1:7" ht="16">
      <c r="A123" s="90" t="s">
        <v>249</v>
      </c>
      <c r="B123" s="142" t="s">
        <v>241</v>
      </c>
      <c r="C123" s="92" t="s">
        <v>75</v>
      </c>
      <c r="D123" s="175">
        <f>'03.- Cubicaciones'!C124</f>
        <v>1887.4760000000001</v>
      </c>
      <c r="E123" s="176">
        <v>4222.05</v>
      </c>
      <c r="F123" s="187">
        <f t="shared" si="4"/>
        <v>2334.5740000000001</v>
      </c>
      <c r="G123" s="188">
        <f t="shared" si="3"/>
        <v>0.55294797550952735</v>
      </c>
    </row>
    <row r="124" spans="1:7" ht="16">
      <c r="A124" s="90" t="s">
        <v>250</v>
      </c>
      <c r="B124" s="142" t="s">
        <v>242</v>
      </c>
      <c r="C124" s="92" t="s">
        <v>76</v>
      </c>
      <c r="D124" s="175">
        <f>'03.- Cubicaciones'!C125</f>
        <v>64</v>
      </c>
      <c r="E124" s="176">
        <v>24</v>
      </c>
      <c r="F124" s="187">
        <f t="shared" si="4"/>
        <v>-40</v>
      </c>
      <c r="G124" s="188">
        <f t="shared" si="3"/>
        <v>-1.6666666666666667</v>
      </c>
    </row>
    <row r="125" spans="1:7" ht="16">
      <c r="A125" s="127">
        <v>20</v>
      </c>
      <c r="B125" s="128" t="s">
        <v>251</v>
      </c>
      <c r="C125" s="92"/>
      <c r="D125" s="175"/>
      <c r="E125" s="177"/>
      <c r="F125" s="187"/>
      <c r="G125" s="188"/>
    </row>
    <row r="126" spans="1:7" ht="16">
      <c r="A126" s="90" t="s">
        <v>256</v>
      </c>
      <c r="B126" s="142" t="s">
        <v>252</v>
      </c>
      <c r="C126" s="92" t="s">
        <v>67</v>
      </c>
      <c r="D126" s="175">
        <f>'03.- Cubicaciones'!C127</f>
        <v>48.824999999999996</v>
      </c>
      <c r="E126" s="176">
        <v>40</v>
      </c>
      <c r="F126" s="187">
        <f t="shared" si="4"/>
        <v>-8.8249999999999957</v>
      </c>
      <c r="G126" s="188">
        <f t="shared" si="3"/>
        <v>-0.2206249999999999</v>
      </c>
    </row>
    <row r="127" spans="1:7" ht="16">
      <c r="A127" s="90" t="s">
        <v>257</v>
      </c>
      <c r="B127" s="142" t="s">
        <v>253</v>
      </c>
      <c r="C127" s="92" t="s">
        <v>67</v>
      </c>
      <c r="D127" s="175">
        <f>'03.- Cubicaciones'!C128</f>
        <v>32.550000000000004</v>
      </c>
      <c r="E127" s="176">
        <f>230*0.1</f>
        <v>23</v>
      </c>
      <c r="F127" s="187">
        <f t="shared" si="4"/>
        <v>-9.5500000000000043</v>
      </c>
      <c r="G127" s="188">
        <f t="shared" si="3"/>
        <v>-0.41521739130434804</v>
      </c>
    </row>
    <row r="128" spans="1:7" ht="16">
      <c r="A128" s="90" t="s">
        <v>258</v>
      </c>
      <c r="B128" s="142" t="s">
        <v>254</v>
      </c>
      <c r="C128" s="92" t="s">
        <v>18</v>
      </c>
      <c r="D128" s="175">
        <f>'03.- Cubicaciones'!C129</f>
        <v>325.5</v>
      </c>
      <c r="E128" s="176">
        <v>280</v>
      </c>
      <c r="F128" s="187">
        <f t="shared" si="4"/>
        <v>-45.5</v>
      </c>
      <c r="G128" s="188">
        <f t="shared" si="3"/>
        <v>-0.16250000000000001</v>
      </c>
    </row>
    <row r="129" spans="1:7" ht="16">
      <c r="A129" s="90" t="s">
        <v>259</v>
      </c>
      <c r="B129" s="142" t="s">
        <v>255</v>
      </c>
      <c r="C129" s="92" t="s">
        <v>67</v>
      </c>
      <c r="D129" s="175">
        <f>'03.- Cubicaciones'!C130</f>
        <v>227.85</v>
      </c>
      <c r="E129" s="176">
        <v>184</v>
      </c>
      <c r="F129" s="187">
        <f t="shared" si="4"/>
        <v>-43.849999999999994</v>
      </c>
      <c r="G129" s="188">
        <f t="shared" si="3"/>
        <v>-0.23831521739130432</v>
      </c>
    </row>
    <row r="130" spans="1:7" ht="16">
      <c r="A130" s="127">
        <v>21</v>
      </c>
      <c r="B130" s="128" t="s">
        <v>260</v>
      </c>
      <c r="C130" s="92"/>
      <c r="D130" s="175"/>
      <c r="E130" s="177"/>
      <c r="F130" s="187"/>
      <c r="G130" s="188"/>
    </row>
    <row r="131" spans="1:7" ht="16">
      <c r="A131" s="90" t="s">
        <v>272</v>
      </c>
      <c r="B131" s="142" t="s">
        <v>261</v>
      </c>
      <c r="C131" s="92" t="s">
        <v>75</v>
      </c>
      <c r="D131" s="175">
        <f>'03.- Cubicaciones'!C132</f>
        <v>6755</v>
      </c>
      <c r="E131" s="176">
        <v>6755</v>
      </c>
      <c r="F131" s="187">
        <f t="shared" si="4"/>
        <v>0</v>
      </c>
      <c r="G131" s="188">
        <f t="shared" si="3"/>
        <v>0</v>
      </c>
    </row>
    <row r="132" spans="1:7" ht="16">
      <c r="A132" s="90" t="s">
        <v>273</v>
      </c>
      <c r="B132" s="142" t="s">
        <v>262</v>
      </c>
      <c r="C132" s="92" t="s">
        <v>75</v>
      </c>
      <c r="D132" s="175">
        <f>'03.- Cubicaciones'!C133</f>
        <v>2741.16</v>
      </c>
      <c r="E132" s="176">
        <v>2741.16</v>
      </c>
      <c r="F132" s="187">
        <f t="shared" si="4"/>
        <v>0</v>
      </c>
      <c r="G132" s="188">
        <f t="shared" si="3"/>
        <v>0</v>
      </c>
    </row>
    <row r="133" spans="1:7" ht="16">
      <c r="A133" s="90" t="s">
        <v>274</v>
      </c>
      <c r="B133" s="142" t="s">
        <v>263</v>
      </c>
      <c r="C133" s="92" t="s">
        <v>75</v>
      </c>
      <c r="D133" s="175">
        <f>'03.- Cubicaciones'!C134</f>
        <v>925.35</v>
      </c>
      <c r="E133" s="176">
        <v>925.35</v>
      </c>
      <c r="F133" s="187">
        <f t="shared" si="4"/>
        <v>0</v>
      </c>
      <c r="G133" s="188">
        <f t="shared" ref="G133:G180" si="5">F133/E133</f>
        <v>0</v>
      </c>
    </row>
    <row r="134" spans="1:7" ht="16">
      <c r="A134" s="90" t="s">
        <v>275</v>
      </c>
      <c r="B134" s="142" t="s">
        <v>264</v>
      </c>
      <c r="C134" s="92" t="s">
        <v>75</v>
      </c>
      <c r="D134" s="175">
        <f>'03.- Cubicaciones'!C135</f>
        <v>512.69999999999993</v>
      </c>
      <c r="E134" s="176">
        <v>512.69999999999993</v>
      </c>
      <c r="F134" s="187">
        <f t="shared" si="4"/>
        <v>0</v>
      </c>
      <c r="G134" s="188">
        <f t="shared" si="5"/>
        <v>0</v>
      </c>
    </row>
    <row r="135" spans="1:7" ht="16">
      <c r="A135" s="90" t="s">
        <v>276</v>
      </c>
      <c r="B135" s="142" t="s">
        <v>265</v>
      </c>
      <c r="C135" s="92" t="s">
        <v>75</v>
      </c>
      <c r="D135" s="175">
        <f>'03.- Cubicaciones'!C136</f>
        <v>934.01136000000008</v>
      </c>
      <c r="E135" s="176">
        <v>934.01136000000008</v>
      </c>
      <c r="F135" s="187">
        <f t="shared" si="4"/>
        <v>0</v>
      </c>
      <c r="G135" s="188">
        <f t="shared" si="5"/>
        <v>0</v>
      </c>
    </row>
    <row r="136" spans="1:7" ht="16">
      <c r="A136" s="90" t="s">
        <v>277</v>
      </c>
      <c r="B136" s="142" t="s">
        <v>266</v>
      </c>
      <c r="C136" s="92" t="s">
        <v>75</v>
      </c>
      <c r="D136" s="175">
        <f>'03.- Cubicaciones'!C137</f>
        <v>203.64</v>
      </c>
      <c r="E136" s="176">
        <v>203.64</v>
      </c>
      <c r="F136" s="187">
        <f t="shared" si="4"/>
        <v>0</v>
      </c>
      <c r="G136" s="188">
        <f t="shared" si="5"/>
        <v>0</v>
      </c>
    </row>
    <row r="137" spans="1:7" ht="16">
      <c r="A137" s="90" t="s">
        <v>278</v>
      </c>
      <c r="B137" s="142" t="s">
        <v>267</v>
      </c>
      <c r="C137" s="92" t="s">
        <v>75</v>
      </c>
      <c r="D137" s="175">
        <f>'03.- Cubicaciones'!C138</f>
        <v>156.27925000000002</v>
      </c>
      <c r="E137" s="176">
        <v>156.27925000000002</v>
      </c>
      <c r="F137" s="187">
        <f t="shared" si="4"/>
        <v>0</v>
      </c>
      <c r="G137" s="188">
        <f t="shared" si="5"/>
        <v>0</v>
      </c>
    </row>
    <row r="138" spans="1:7" ht="16">
      <c r="A138" s="90" t="s">
        <v>279</v>
      </c>
      <c r="B138" s="142" t="s">
        <v>268</v>
      </c>
      <c r="C138" s="92" t="s">
        <v>76</v>
      </c>
      <c r="D138" s="175">
        <f>'03.- Cubicaciones'!C139</f>
        <v>144</v>
      </c>
      <c r="E138" s="176">
        <v>144</v>
      </c>
      <c r="F138" s="187">
        <f t="shared" si="4"/>
        <v>0</v>
      </c>
      <c r="G138" s="188">
        <f t="shared" si="5"/>
        <v>0</v>
      </c>
    </row>
    <row r="139" spans="1:7" ht="16">
      <c r="A139" s="90" t="s">
        <v>280</v>
      </c>
      <c r="B139" s="142" t="s">
        <v>269</v>
      </c>
      <c r="C139" s="92" t="s">
        <v>76</v>
      </c>
      <c r="D139" s="175">
        <f>'03.- Cubicaciones'!C140</f>
        <v>48</v>
      </c>
      <c r="E139" s="176">
        <v>48</v>
      </c>
      <c r="F139" s="187">
        <f t="shared" si="4"/>
        <v>0</v>
      </c>
      <c r="G139" s="188">
        <f t="shared" si="5"/>
        <v>0</v>
      </c>
    </row>
    <row r="140" spans="1:7" ht="16">
      <c r="A140" s="90" t="s">
        <v>281</v>
      </c>
      <c r="B140" s="142" t="s">
        <v>270</v>
      </c>
      <c r="C140" s="92" t="s">
        <v>76</v>
      </c>
      <c r="D140" s="175">
        <f>'03.- Cubicaciones'!C141</f>
        <v>112</v>
      </c>
      <c r="E140" s="176">
        <v>112</v>
      </c>
      <c r="F140" s="187">
        <f t="shared" si="4"/>
        <v>0</v>
      </c>
      <c r="G140" s="188">
        <f t="shared" si="5"/>
        <v>0</v>
      </c>
    </row>
    <row r="141" spans="1:7" ht="16">
      <c r="A141" s="90" t="s">
        <v>282</v>
      </c>
      <c r="B141" s="142" t="s">
        <v>271</v>
      </c>
      <c r="C141" s="92" t="s">
        <v>75</v>
      </c>
      <c r="D141" s="175">
        <f>'03.- Cubicaciones'!C142</f>
        <v>585</v>
      </c>
      <c r="E141" s="176">
        <v>585</v>
      </c>
      <c r="F141" s="187">
        <f t="shared" si="4"/>
        <v>0</v>
      </c>
      <c r="G141" s="188">
        <f t="shared" si="5"/>
        <v>0</v>
      </c>
    </row>
    <row r="142" spans="1:7" ht="16">
      <c r="A142" s="127">
        <v>22</v>
      </c>
      <c r="B142" s="128" t="s">
        <v>283</v>
      </c>
      <c r="C142" s="92"/>
      <c r="D142" s="175"/>
      <c r="E142" s="177"/>
      <c r="F142" s="187"/>
      <c r="G142" s="188"/>
    </row>
    <row r="143" spans="1:7" ht="16">
      <c r="A143" s="90" t="s">
        <v>290</v>
      </c>
      <c r="B143" s="142" t="s">
        <v>284</v>
      </c>
      <c r="C143" s="92" t="s">
        <v>75</v>
      </c>
      <c r="D143" s="175">
        <f>'03.- Cubicaciones'!C144</f>
        <v>829.03500000000008</v>
      </c>
      <c r="E143" s="176">
        <v>829</v>
      </c>
      <c r="F143" s="187">
        <f t="shared" si="4"/>
        <v>-3.5000000000081855E-2</v>
      </c>
      <c r="G143" s="188">
        <f t="shared" si="5"/>
        <v>-4.2219541616504044E-5</v>
      </c>
    </row>
    <row r="144" spans="1:7" ht="16">
      <c r="A144" s="90" t="s">
        <v>291</v>
      </c>
      <c r="B144" s="142" t="s">
        <v>285</v>
      </c>
      <c r="C144" s="92" t="s">
        <v>58</v>
      </c>
      <c r="D144" s="175">
        <f>'03.- Cubicaciones'!C145</f>
        <v>1</v>
      </c>
      <c r="E144" s="176">
        <v>1</v>
      </c>
      <c r="F144" s="187">
        <f t="shared" si="4"/>
        <v>0</v>
      </c>
      <c r="G144" s="188">
        <f t="shared" si="5"/>
        <v>0</v>
      </c>
    </row>
    <row r="145" spans="1:7" ht="16">
      <c r="A145" s="90" t="s">
        <v>292</v>
      </c>
      <c r="B145" s="142" t="s">
        <v>286</v>
      </c>
      <c r="C145" s="92" t="s">
        <v>58</v>
      </c>
      <c r="D145" s="175">
        <f>'03.- Cubicaciones'!C146</f>
        <v>1</v>
      </c>
      <c r="E145" s="176">
        <v>1</v>
      </c>
      <c r="F145" s="187">
        <f t="shared" si="4"/>
        <v>0</v>
      </c>
      <c r="G145" s="188">
        <f t="shared" si="5"/>
        <v>0</v>
      </c>
    </row>
    <row r="146" spans="1:7" ht="16">
      <c r="A146" s="90" t="s">
        <v>293</v>
      </c>
      <c r="B146" s="142" t="s">
        <v>287</v>
      </c>
      <c r="C146" s="92" t="s">
        <v>76</v>
      </c>
      <c r="D146" s="175">
        <f>'03.- Cubicaciones'!C147</f>
        <v>2</v>
      </c>
      <c r="E146" s="176">
        <v>2</v>
      </c>
      <c r="F146" s="187">
        <f t="shared" si="4"/>
        <v>0</v>
      </c>
      <c r="G146" s="188">
        <f t="shared" si="5"/>
        <v>0</v>
      </c>
    </row>
    <row r="147" spans="1:7" ht="16">
      <c r="A147" s="90" t="s">
        <v>294</v>
      </c>
      <c r="B147" s="142" t="s">
        <v>288</v>
      </c>
      <c r="C147" s="92" t="s">
        <v>76</v>
      </c>
      <c r="D147" s="175">
        <f>'03.- Cubicaciones'!C148</f>
        <v>2</v>
      </c>
      <c r="E147" s="176">
        <v>2</v>
      </c>
      <c r="F147" s="187">
        <f t="shared" si="4"/>
        <v>0</v>
      </c>
      <c r="G147" s="188">
        <f t="shared" si="5"/>
        <v>0</v>
      </c>
    </row>
    <row r="148" spans="1:7" ht="16">
      <c r="A148" s="90" t="s">
        <v>295</v>
      </c>
      <c r="B148" s="142" t="s">
        <v>289</v>
      </c>
      <c r="C148" s="92" t="s">
        <v>65</v>
      </c>
      <c r="D148" s="175">
        <f>'03.- Cubicaciones'!C149</f>
        <v>82.2</v>
      </c>
      <c r="E148" s="176">
        <f>8.22*10</f>
        <v>82.2</v>
      </c>
      <c r="F148" s="187">
        <f t="shared" si="4"/>
        <v>0</v>
      </c>
      <c r="G148" s="188">
        <f t="shared" si="5"/>
        <v>0</v>
      </c>
    </row>
    <row r="149" spans="1:7" ht="16">
      <c r="A149" s="127">
        <v>23</v>
      </c>
      <c r="B149" s="128" t="s">
        <v>296</v>
      </c>
      <c r="C149" s="92"/>
      <c r="D149" s="175"/>
      <c r="E149" s="177"/>
      <c r="F149" s="187"/>
      <c r="G149" s="188"/>
    </row>
    <row r="150" spans="1:7" ht="16">
      <c r="A150" s="90" t="s">
        <v>303</v>
      </c>
      <c r="B150" s="142" t="s">
        <v>297</v>
      </c>
      <c r="C150" s="92" t="s">
        <v>18</v>
      </c>
      <c r="D150" s="175">
        <f>'03.- Cubicaciones'!C151</f>
        <v>716</v>
      </c>
      <c r="E150" s="176">
        <f>15.5*21</f>
        <v>325.5</v>
      </c>
      <c r="F150" s="187">
        <f t="shared" si="4"/>
        <v>-390.5</v>
      </c>
      <c r="G150" s="188">
        <f t="shared" si="5"/>
        <v>-1.1996927803379416</v>
      </c>
    </row>
    <row r="151" spans="1:7" ht="16">
      <c r="A151" s="90" t="s">
        <v>304</v>
      </c>
      <c r="B151" s="142" t="s">
        <v>298</v>
      </c>
      <c r="C151" s="92" t="s">
        <v>18</v>
      </c>
      <c r="D151" s="175">
        <f>'03.- Cubicaciones'!C152</f>
        <v>45</v>
      </c>
      <c r="E151" s="176">
        <f>11.3*21+5.7*15.5*2-4*4*2-126</f>
        <v>256</v>
      </c>
      <c r="F151" s="187">
        <f t="shared" si="4"/>
        <v>211</v>
      </c>
      <c r="G151" s="188">
        <f t="shared" si="5"/>
        <v>0.82421875</v>
      </c>
    </row>
    <row r="152" spans="1:7" ht="16">
      <c r="A152" s="90" t="s">
        <v>305</v>
      </c>
      <c r="B152" s="142" t="s">
        <v>299</v>
      </c>
      <c r="C152" s="92" t="s">
        <v>65</v>
      </c>
      <c r="D152" s="175">
        <f>'03.- Cubicaciones'!C153</f>
        <v>22</v>
      </c>
      <c r="E152" s="176">
        <f>21.5*2</f>
        <v>43</v>
      </c>
      <c r="F152" s="187">
        <f t="shared" si="4"/>
        <v>21</v>
      </c>
      <c r="G152" s="188">
        <f t="shared" si="5"/>
        <v>0.48837209302325579</v>
      </c>
    </row>
    <row r="153" spans="1:7" ht="16">
      <c r="A153" s="90" t="s">
        <v>306</v>
      </c>
      <c r="B153" s="142" t="s">
        <v>300</v>
      </c>
      <c r="C153" s="92" t="s">
        <v>65</v>
      </c>
      <c r="D153" s="175">
        <f>'03.- Cubicaciones'!C154</f>
        <v>64</v>
      </c>
      <c r="E153" s="176">
        <f>4.5*2*2</f>
        <v>18</v>
      </c>
      <c r="F153" s="187">
        <f t="shared" si="4"/>
        <v>-46</v>
      </c>
      <c r="G153" s="188">
        <f t="shared" si="5"/>
        <v>-2.5555555555555554</v>
      </c>
    </row>
    <row r="154" spans="1:7" ht="16">
      <c r="A154" s="90" t="s">
        <v>307</v>
      </c>
      <c r="B154" s="142" t="s">
        <v>301</v>
      </c>
      <c r="C154" s="92" t="s">
        <v>65</v>
      </c>
      <c r="D154" s="175">
        <f>'03.- Cubicaciones'!C155</f>
        <v>60</v>
      </c>
      <c r="E154" s="176">
        <f>+(5.3+6+15.5)*2</f>
        <v>53.6</v>
      </c>
      <c r="F154" s="187">
        <f t="shared" si="4"/>
        <v>-6.3999999999999986</v>
      </c>
      <c r="G154" s="188">
        <f t="shared" si="5"/>
        <v>-0.11940298507462684</v>
      </c>
    </row>
    <row r="155" spans="1:7" ht="16">
      <c r="A155" s="90" t="s">
        <v>308</v>
      </c>
      <c r="B155" s="142" t="s">
        <v>302</v>
      </c>
      <c r="C155" s="92" t="s">
        <v>65</v>
      </c>
      <c r="D155" s="175">
        <f>'03.- Cubicaciones'!C156</f>
        <v>126</v>
      </c>
      <c r="E155" s="176">
        <f>6*21</f>
        <v>126</v>
      </c>
      <c r="F155" s="187">
        <f t="shared" si="4"/>
        <v>0</v>
      </c>
      <c r="G155" s="188">
        <f t="shared" si="5"/>
        <v>0</v>
      </c>
    </row>
    <row r="156" spans="1:7" ht="16">
      <c r="A156" s="90"/>
      <c r="B156" s="142"/>
      <c r="C156" s="92"/>
      <c r="D156" s="175"/>
      <c r="E156" s="176"/>
      <c r="F156" s="187"/>
      <c r="G156" s="188"/>
    </row>
    <row r="157" spans="1:7" ht="16">
      <c r="A157" s="84"/>
      <c r="B157" s="141" t="s">
        <v>309</v>
      </c>
      <c r="C157" s="86"/>
      <c r="D157" s="183"/>
      <c r="E157" s="178" t="s">
        <v>589</v>
      </c>
      <c r="F157" s="187"/>
      <c r="G157" s="188"/>
    </row>
    <row r="158" spans="1:7" ht="16">
      <c r="A158" s="127">
        <v>24</v>
      </c>
      <c r="B158" s="128" t="s">
        <v>310</v>
      </c>
      <c r="C158" s="92"/>
      <c r="D158" s="175"/>
      <c r="E158" s="177"/>
      <c r="F158" s="187"/>
      <c r="G158" s="188"/>
    </row>
    <row r="159" spans="1:7" ht="16">
      <c r="A159" s="90" t="s">
        <v>317</v>
      </c>
      <c r="B159" s="142" t="s">
        <v>311</v>
      </c>
      <c r="C159" s="92" t="s">
        <v>67</v>
      </c>
      <c r="D159" s="175">
        <f>'03.- Cubicaciones'!C160</f>
        <v>80</v>
      </c>
      <c r="E159" s="176">
        <f>800*0.1</f>
        <v>80</v>
      </c>
      <c r="F159" s="187">
        <f t="shared" si="4"/>
        <v>0</v>
      </c>
      <c r="G159" s="188">
        <f t="shared" si="5"/>
        <v>0</v>
      </c>
    </row>
    <row r="160" spans="1:7" ht="16">
      <c r="A160" s="90" t="s">
        <v>318</v>
      </c>
      <c r="B160" s="142" t="s">
        <v>312</v>
      </c>
      <c r="C160" s="92" t="s">
        <v>65</v>
      </c>
      <c r="D160" s="175">
        <f>'03.- Cubicaciones'!C161</f>
        <v>60</v>
      </c>
      <c r="E160" s="176">
        <v>60</v>
      </c>
      <c r="F160" s="187">
        <f t="shared" si="4"/>
        <v>0</v>
      </c>
      <c r="G160" s="188">
        <f t="shared" si="5"/>
        <v>0</v>
      </c>
    </row>
    <row r="161" spans="1:7" ht="16">
      <c r="A161" s="90" t="s">
        <v>319</v>
      </c>
      <c r="B161" s="142" t="s">
        <v>313</v>
      </c>
      <c r="C161" s="92" t="s">
        <v>65</v>
      </c>
      <c r="D161" s="175">
        <f>'03.- Cubicaciones'!C162</f>
        <v>250</v>
      </c>
      <c r="E161" s="176">
        <v>250</v>
      </c>
      <c r="F161" s="187">
        <f t="shared" si="4"/>
        <v>0</v>
      </c>
      <c r="G161" s="188">
        <f t="shared" si="5"/>
        <v>0</v>
      </c>
    </row>
    <row r="162" spans="1:7" ht="16">
      <c r="A162" s="127">
        <v>25</v>
      </c>
      <c r="B162" s="128" t="s">
        <v>314</v>
      </c>
      <c r="C162" s="92"/>
      <c r="D162" s="175"/>
      <c r="E162" s="177"/>
      <c r="F162" s="187"/>
      <c r="G162" s="188"/>
    </row>
    <row r="163" spans="1:7" ht="16">
      <c r="A163" s="90" t="s">
        <v>320</v>
      </c>
      <c r="B163" s="142" t="s">
        <v>315</v>
      </c>
      <c r="C163" s="92" t="s">
        <v>65</v>
      </c>
      <c r="D163" s="175">
        <f>'03.- Cubicaciones'!C164</f>
        <v>73.3</v>
      </c>
      <c r="E163" s="176">
        <v>76</v>
      </c>
      <c r="F163" s="187">
        <f t="shared" si="4"/>
        <v>2.7000000000000028</v>
      </c>
      <c r="G163" s="188">
        <f t="shared" si="5"/>
        <v>3.5526315789473718E-2</v>
      </c>
    </row>
    <row r="164" spans="1:7" ht="16">
      <c r="A164" s="90" t="s">
        <v>321</v>
      </c>
      <c r="B164" s="142" t="s">
        <v>316</v>
      </c>
      <c r="C164" s="92" t="s">
        <v>76</v>
      </c>
      <c r="D164" s="175">
        <f>'03.- Cubicaciones'!C165</f>
        <v>4</v>
      </c>
      <c r="E164" s="176">
        <v>4</v>
      </c>
      <c r="F164" s="187">
        <f t="shared" si="4"/>
        <v>0</v>
      </c>
      <c r="G164" s="188">
        <f t="shared" si="5"/>
        <v>0</v>
      </c>
    </row>
    <row r="165" spans="1:7" ht="16">
      <c r="A165" s="90"/>
      <c r="B165" s="142"/>
      <c r="C165" s="92"/>
      <c r="D165" s="175"/>
      <c r="E165" s="176"/>
      <c r="F165" s="187"/>
      <c r="G165" s="188"/>
    </row>
    <row r="166" spans="1:7" ht="16">
      <c r="A166" s="84"/>
      <c r="B166" s="141" t="s">
        <v>322</v>
      </c>
      <c r="C166" s="86"/>
      <c r="D166" s="183"/>
      <c r="E166" s="178" t="s">
        <v>590</v>
      </c>
      <c r="F166" s="187"/>
      <c r="G166" s="188"/>
    </row>
    <row r="167" spans="1:7" ht="16">
      <c r="A167" s="127">
        <v>26</v>
      </c>
      <c r="B167" s="128" t="s">
        <v>323</v>
      </c>
      <c r="C167" s="92"/>
      <c r="D167" s="175"/>
      <c r="E167" s="181"/>
      <c r="F167" s="187"/>
      <c r="G167" s="188"/>
    </row>
    <row r="168" spans="1:7" ht="16">
      <c r="A168" s="90" t="s">
        <v>330</v>
      </c>
      <c r="B168" s="142" t="s">
        <v>324</v>
      </c>
      <c r="C168" s="92" t="s">
        <v>76</v>
      </c>
      <c r="D168" s="175">
        <f>'03.- Cubicaciones'!C169</f>
        <v>4</v>
      </c>
      <c r="E168" s="176">
        <v>4</v>
      </c>
      <c r="F168" s="187">
        <f t="shared" ref="F168:F180" si="6">E168-D168</f>
        <v>0</v>
      </c>
      <c r="G168" s="188">
        <f t="shared" si="5"/>
        <v>0</v>
      </c>
    </row>
    <row r="169" spans="1:7" ht="16">
      <c r="A169" s="90" t="s">
        <v>331</v>
      </c>
      <c r="B169" s="142" t="s">
        <v>325</v>
      </c>
      <c r="C169" s="92" t="s">
        <v>76</v>
      </c>
      <c r="D169" s="175">
        <f>'03.- Cubicaciones'!C170</f>
        <v>2</v>
      </c>
      <c r="E169" s="176">
        <v>2</v>
      </c>
      <c r="F169" s="187">
        <f t="shared" si="6"/>
        <v>0</v>
      </c>
      <c r="G169" s="188">
        <f t="shared" si="5"/>
        <v>0</v>
      </c>
    </row>
    <row r="170" spans="1:7" ht="16">
      <c r="A170" s="90" t="s">
        <v>332</v>
      </c>
      <c r="B170" s="142" t="s">
        <v>326</v>
      </c>
      <c r="C170" s="92" t="s">
        <v>76</v>
      </c>
      <c r="D170" s="175">
        <f>'03.- Cubicaciones'!C171</f>
        <v>1</v>
      </c>
      <c r="E170" s="176">
        <v>1</v>
      </c>
      <c r="F170" s="187">
        <f t="shared" si="6"/>
        <v>0</v>
      </c>
      <c r="G170" s="188">
        <f t="shared" si="5"/>
        <v>0</v>
      </c>
    </row>
    <row r="171" spans="1:7" ht="16">
      <c r="A171" s="90" t="s">
        <v>333</v>
      </c>
      <c r="B171" s="142" t="s">
        <v>327</v>
      </c>
      <c r="C171" s="92" t="s">
        <v>76</v>
      </c>
      <c r="D171" s="175">
        <f>'03.- Cubicaciones'!C172</f>
        <v>2</v>
      </c>
      <c r="E171" s="176">
        <v>2</v>
      </c>
      <c r="F171" s="187">
        <f t="shared" si="6"/>
        <v>0</v>
      </c>
      <c r="G171" s="188">
        <f t="shared" si="5"/>
        <v>0</v>
      </c>
    </row>
    <row r="172" spans="1:7" ht="16">
      <c r="A172" s="90" t="s">
        <v>334</v>
      </c>
      <c r="B172" s="142" t="s">
        <v>328</v>
      </c>
      <c r="C172" s="92" t="s">
        <v>65</v>
      </c>
      <c r="D172" s="175">
        <f>'03.- Cubicaciones'!C173</f>
        <v>21</v>
      </c>
      <c r="E172" s="176">
        <v>21</v>
      </c>
      <c r="F172" s="187">
        <f t="shared" si="6"/>
        <v>0</v>
      </c>
      <c r="G172" s="188">
        <f t="shared" si="5"/>
        <v>0</v>
      </c>
    </row>
    <row r="173" spans="1:7" ht="16">
      <c r="A173" s="90" t="s">
        <v>335</v>
      </c>
      <c r="B173" s="142" t="s">
        <v>329</v>
      </c>
      <c r="C173" s="92" t="s">
        <v>65</v>
      </c>
      <c r="D173" s="175">
        <f>'03.- Cubicaciones'!C174</f>
        <v>14</v>
      </c>
      <c r="E173" s="176">
        <f>2.8*5</f>
        <v>14</v>
      </c>
      <c r="F173" s="187">
        <f t="shared" si="6"/>
        <v>0</v>
      </c>
      <c r="G173" s="188">
        <f t="shared" si="5"/>
        <v>0</v>
      </c>
    </row>
    <row r="174" spans="1:7" ht="16">
      <c r="A174" s="90"/>
      <c r="B174" s="142"/>
      <c r="C174" s="92"/>
      <c r="D174" s="175"/>
      <c r="E174" s="176"/>
      <c r="F174" s="187"/>
      <c r="G174" s="188"/>
    </row>
    <row r="175" spans="1:7" ht="16">
      <c r="A175" s="84"/>
      <c r="B175" s="141" t="s">
        <v>336</v>
      </c>
      <c r="C175" s="86"/>
      <c r="D175" s="183"/>
      <c r="E175" s="178" t="s">
        <v>591</v>
      </c>
      <c r="F175" s="187"/>
      <c r="G175" s="188"/>
    </row>
    <row r="176" spans="1:7" ht="16">
      <c r="A176" s="127">
        <v>27</v>
      </c>
      <c r="B176" s="128" t="s">
        <v>337</v>
      </c>
      <c r="C176" s="92"/>
      <c r="D176" s="175"/>
      <c r="E176" s="181"/>
      <c r="F176" s="187"/>
      <c r="G176" s="188"/>
    </row>
    <row r="177" spans="1:7" ht="16">
      <c r="A177" s="90" t="s">
        <v>342</v>
      </c>
      <c r="B177" s="142" t="s">
        <v>338</v>
      </c>
      <c r="C177" s="92" t="s">
        <v>76</v>
      </c>
      <c r="D177" s="175">
        <f>'03.- Cubicaciones'!C178</f>
        <v>5</v>
      </c>
      <c r="E177" s="179">
        <f>5</f>
        <v>5</v>
      </c>
      <c r="F177" s="187">
        <f t="shared" si="6"/>
        <v>0</v>
      </c>
      <c r="G177" s="188">
        <f t="shared" si="5"/>
        <v>0</v>
      </c>
    </row>
    <row r="178" spans="1:7" ht="16">
      <c r="A178" s="90" t="s">
        <v>343</v>
      </c>
      <c r="B178" s="142" t="s">
        <v>339</v>
      </c>
      <c r="C178" s="92" t="s">
        <v>76</v>
      </c>
      <c r="D178" s="175">
        <f>'03.- Cubicaciones'!C179</f>
        <v>1</v>
      </c>
      <c r="E178" s="179">
        <v>1</v>
      </c>
      <c r="F178" s="187">
        <f t="shared" si="6"/>
        <v>0</v>
      </c>
      <c r="G178" s="188">
        <f t="shared" si="5"/>
        <v>0</v>
      </c>
    </row>
    <row r="179" spans="1:7" ht="16">
      <c r="A179" s="90" t="s">
        <v>344</v>
      </c>
      <c r="B179" s="142" t="s">
        <v>340</v>
      </c>
      <c r="C179" s="92" t="s">
        <v>76</v>
      </c>
      <c r="D179" s="175">
        <f>'03.- Cubicaciones'!C180</f>
        <v>5</v>
      </c>
      <c r="E179" s="179">
        <v>5</v>
      </c>
      <c r="F179" s="187">
        <f t="shared" si="6"/>
        <v>0</v>
      </c>
      <c r="G179" s="188">
        <f t="shared" si="5"/>
        <v>0</v>
      </c>
    </row>
    <row r="180" spans="1:7" ht="16">
      <c r="A180" s="90" t="s">
        <v>345</v>
      </c>
      <c r="B180" s="142" t="s">
        <v>341</v>
      </c>
      <c r="C180" s="92" t="s">
        <v>76</v>
      </c>
      <c r="D180" s="175">
        <f>'03.- Cubicaciones'!C181</f>
        <v>1</v>
      </c>
      <c r="E180" s="179">
        <v>1</v>
      </c>
      <c r="F180" s="187">
        <f t="shared" si="6"/>
        <v>0</v>
      </c>
      <c r="G180" s="188">
        <f t="shared" si="5"/>
        <v>0</v>
      </c>
    </row>
    <row r="181" spans="1:7">
      <c r="D181" s="184"/>
      <c r="E181" s="174"/>
    </row>
  </sheetData>
  <mergeCells count="1">
    <mergeCell ref="F2:G2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6CDE-64EE-4162-968E-63F65BFAD1BD}">
  <dimension ref="C3:J44"/>
  <sheetViews>
    <sheetView zoomScale="105" workbookViewId="0">
      <selection activeCell="K39" sqref="K39"/>
    </sheetView>
  </sheetViews>
  <sheetFormatPr baseColWidth="10" defaultColWidth="8.83203125" defaultRowHeight="15"/>
  <cols>
    <col min="3" max="3" width="40.1640625" customWidth="1"/>
    <col min="4" max="4" width="9.83203125" bestFit="1" customWidth="1"/>
    <col min="5" max="5" width="12.5" customWidth="1"/>
    <col min="6" max="6" width="11.33203125" bestFit="1" customWidth="1"/>
  </cols>
  <sheetData>
    <row r="3" spans="3:10" ht="16" thickBot="1">
      <c r="H3" s="61"/>
    </row>
    <row r="4" spans="3:10" ht="16" thickBot="1">
      <c r="C4" s="123" t="s">
        <v>374</v>
      </c>
      <c r="D4" s="124" t="s">
        <v>89</v>
      </c>
      <c r="E4" s="124" t="s">
        <v>87</v>
      </c>
      <c r="F4" s="125" t="s">
        <v>88</v>
      </c>
      <c r="H4" s="61"/>
      <c r="I4" s="163" t="s">
        <v>387</v>
      </c>
      <c r="J4" s="164">
        <v>39267</v>
      </c>
    </row>
    <row r="5" spans="3:10" ht="16">
      <c r="C5" s="153" t="s">
        <v>90</v>
      </c>
      <c r="D5" s="151">
        <f t="shared" ref="D5:D13" si="0">F5/180</f>
        <v>7250</v>
      </c>
      <c r="E5" s="150">
        <v>900000</v>
      </c>
      <c r="F5" s="158">
        <f>E5*1.45</f>
        <v>1305000</v>
      </c>
    </row>
    <row r="6" spans="3:10" ht="16">
      <c r="C6" s="153" t="s">
        <v>91</v>
      </c>
      <c r="D6" s="151">
        <f t="shared" si="0"/>
        <v>5638.8888888888887</v>
      </c>
      <c r="E6" s="150">
        <v>700000</v>
      </c>
      <c r="F6" s="158">
        <f t="shared" ref="F6:F9" si="1">E6*1.45</f>
        <v>1015000</v>
      </c>
    </row>
    <row r="7" spans="3:10" ht="16">
      <c r="C7" s="153" t="s">
        <v>68</v>
      </c>
      <c r="D7" s="151">
        <f t="shared" si="0"/>
        <v>5397.2222222222226</v>
      </c>
      <c r="E7" s="150">
        <v>670000</v>
      </c>
      <c r="F7" s="158">
        <f t="shared" si="1"/>
        <v>971500</v>
      </c>
    </row>
    <row r="8" spans="3:10" ht="16">
      <c r="C8" s="153" t="s">
        <v>92</v>
      </c>
      <c r="D8" s="151">
        <f t="shared" si="0"/>
        <v>11680.555555555555</v>
      </c>
      <c r="E8" s="150">
        <v>1450000</v>
      </c>
      <c r="F8" s="158">
        <f t="shared" si="1"/>
        <v>2102500</v>
      </c>
    </row>
    <row r="9" spans="3:10" ht="16">
      <c r="C9" s="153" t="s">
        <v>93</v>
      </c>
      <c r="D9" s="151">
        <f t="shared" si="0"/>
        <v>8055.5555555555557</v>
      </c>
      <c r="E9" s="150">
        <v>1000000</v>
      </c>
      <c r="F9" s="158">
        <f t="shared" si="1"/>
        <v>1450000</v>
      </c>
    </row>
    <row r="10" spans="3:10" ht="16">
      <c r="C10" s="153" t="s">
        <v>480</v>
      </c>
      <c r="D10" s="151">
        <v>600</v>
      </c>
      <c r="E10" s="150"/>
      <c r="F10" s="158"/>
    </row>
    <row r="11" spans="3:10" ht="16">
      <c r="C11" s="153" t="s">
        <v>481</v>
      </c>
      <c r="D11" s="151">
        <v>1500</v>
      </c>
      <c r="E11" s="150"/>
      <c r="F11" s="158"/>
    </row>
    <row r="12" spans="3:10" ht="16">
      <c r="C12" s="153" t="s">
        <v>72</v>
      </c>
      <c r="D12" s="152">
        <f t="shared" si="0"/>
        <v>8055.5555555555557</v>
      </c>
      <c r="E12" s="150">
        <v>1000000</v>
      </c>
      <c r="F12" s="158">
        <f t="shared" ref="F12" si="2">E12*1.45</f>
        <v>1450000</v>
      </c>
    </row>
    <row r="13" spans="3:10" ht="17" thickBot="1">
      <c r="C13" s="155" t="s">
        <v>73</v>
      </c>
      <c r="D13" s="159">
        <f t="shared" si="0"/>
        <v>7250</v>
      </c>
      <c r="E13" s="156">
        <v>900000</v>
      </c>
      <c r="F13" s="160">
        <f>E13*1.45</f>
        <v>1305000</v>
      </c>
    </row>
    <row r="14" spans="3:10" ht="16" thickBot="1"/>
    <row r="15" spans="3:10">
      <c r="C15" s="123" t="s">
        <v>376</v>
      </c>
      <c r="D15" s="125" t="s">
        <v>378</v>
      </c>
    </row>
    <row r="16" spans="3:10" ht="16">
      <c r="C16" s="153" t="s">
        <v>353</v>
      </c>
      <c r="D16" s="154">
        <v>50000</v>
      </c>
    </row>
    <row r="17" spans="3:4" ht="16">
      <c r="C17" s="153" t="s">
        <v>350</v>
      </c>
      <c r="D17" s="154">
        <v>32000</v>
      </c>
    </row>
    <row r="18" spans="3:4" ht="16">
      <c r="C18" s="153" t="s">
        <v>377</v>
      </c>
      <c r="D18" s="154">
        <v>62000</v>
      </c>
    </row>
    <row r="19" spans="3:4" ht="16">
      <c r="C19" s="153" t="s">
        <v>356</v>
      </c>
      <c r="D19" s="154">
        <v>42000</v>
      </c>
    </row>
    <row r="20" spans="3:4" ht="16">
      <c r="C20" s="153" t="s">
        <v>349</v>
      </c>
      <c r="D20" s="154">
        <v>38000</v>
      </c>
    </row>
    <row r="21" spans="3:4" ht="17" thickBot="1">
      <c r="C21" s="155" t="s">
        <v>357</v>
      </c>
      <c r="D21" s="157">
        <v>32000</v>
      </c>
    </row>
    <row r="22" spans="3:4" ht="16" thickBot="1"/>
    <row r="23" spans="3:4">
      <c r="C23" s="123" t="s">
        <v>379</v>
      </c>
      <c r="D23" s="125" t="s">
        <v>375</v>
      </c>
    </row>
    <row r="24" spans="3:4" ht="16">
      <c r="C24" s="153" t="s">
        <v>355</v>
      </c>
      <c r="D24" s="154">
        <v>22000</v>
      </c>
    </row>
    <row r="25" spans="3:4" ht="16">
      <c r="C25" s="153" t="s">
        <v>362</v>
      </c>
      <c r="D25" s="154">
        <v>20000</v>
      </c>
    </row>
    <row r="26" spans="3:4" ht="16">
      <c r="C26" s="165" t="s">
        <v>453</v>
      </c>
      <c r="D26" s="166">
        <v>24000</v>
      </c>
    </row>
    <row r="27" spans="3:4" ht="16">
      <c r="C27" s="165" t="s">
        <v>455</v>
      </c>
      <c r="D27" s="166">
        <v>26000</v>
      </c>
    </row>
    <row r="28" spans="3:4" ht="16">
      <c r="C28" s="165" t="s">
        <v>512</v>
      </c>
      <c r="D28" s="166">
        <v>28000</v>
      </c>
    </row>
    <row r="29" spans="3:4" ht="17" thickBot="1">
      <c r="C29" s="155" t="s">
        <v>365</v>
      </c>
      <c r="D29" s="161">
        <v>37000</v>
      </c>
    </row>
    <row r="30" spans="3:4" ht="16" thickBot="1"/>
    <row r="31" spans="3:4">
      <c r="C31" s="123" t="s">
        <v>381</v>
      </c>
      <c r="D31" s="125" t="s">
        <v>380</v>
      </c>
    </row>
    <row r="32" spans="3:4" ht="16">
      <c r="C32" s="153" t="s">
        <v>370</v>
      </c>
      <c r="D32" s="154">
        <f>2.85*UF</f>
        <v>111910.95</v>
      </c>
    </row>
    <row r="33" spans="3:5" ht="16">
      <c r="C33" s="153" t="s">
        <v>382</v>
      </c>
      <c r="D33" s="154">
        <f>2.76*UF</f>
        <v>108376.92</v>
      </c>
    </row>
    <row r="34" spans="3:5" ht="16">
      <c r="C34" s="153" t="s">
        <v>441</v>
      </c>
      <c r="D34" s="166">
        <f>2.67*UF</f>
        <v>104842.89</v>
      </c>
    </row>
    <row r="35" spans="3:5" ht="17" thickBot="1">
      <c r="C35" s="155" t="s">
        <v>383</v>
      </c>
      <c r="D35" s="161">
        <f>2.5*UF</f>
        <v>98167.5</v>
      </c>
    </row>
    <row r="36" spans="3:5" ht="16" thickBot="1"/>
    <row r="37" spans="3:5">
      <c r="C37" s="123" t="s">
        <v>57</v>
      </c>
      <c r="D37" s="125" t="s">
        <v>530</v>
      </c>
    </row>
    <row r="38" spans="3:5" ht="16">
      <c r="C38" s="153" t="s">
        <v>552</v>
      </c>
      <c r="D38" s="154">
        <v>30000</v>
      </c>
    </row>
    <row r="39" spans="3:5" ht="16">
      <c r="C39" s="153" t="s">
        <v>551</v>
      </c>
      <c r="D39" s="166">
        <v>30550</v>
      </c>
    </row>
    <row r="40" spans="3:5" ht="16">
      <c r="C40" s="165" t="s">
        <v>562</v>
      </c>
      <c r="D40" s="166">
        <v>42742</v>
      </c>
    </row>
    <row r="41" spans="3:5" ht="16">
      <c r="C41" s="165" t="s">
        <v>550</v>
      </c>
      <c r="D41" s="166">
        <v>16500</v>
      </c>
    </row>
    <row r="42" spans="3:5" ht="17" thickBot="1">
      <c r="C42" s="155" t="s">
        <v>531</v>
      </c>
      <c r="D42" s="161">
        <v>17000</v>
      </c>
    </row>
    <row r="43" spans="3:5" ht="16" thickBot="1"/>
    <row r="44" spans="3:5" ht="17" thickBot="1">
      <c r="C44" s="167" t="s">
        <v>566</v>
      </c>
      <c r="D44" s="168">
        <v>11390</v>
      </c>
      <c r="E44" t="s">
        <v>76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FC72-E173-40DE-A0AA-268DE9CFAA18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17</v>
      </c>
      <c r="C4" s="53" t="s">
        <v>36</v>
      </c>
      <c r="D4" s="54" t="str">
        <f>'01.- Presupuesto'!F16</f>
        <v>gl</v>
      </c>
      <c r="E4" s="53" t="str">
        <f>'01.- Presupuesto'!C16</f>
        <v>Desbroce</v>
      </c>
      <c r="F4" s="73">
        <f>'01.- Presupuesto'!G16</f>
        <v>1</v>
      </c>
      <c r="G4" s="55">
        <f>G9</f>
        <v>19164000</v>
      </c>
      <c r="H4" s="55">
        <f>H9</f>
        <v>19164000</v>
      </c>
      <c r="J4" s="74" t="s">
        <v>30</v>
      </c>
      <c r="K4" s="74" t="s">
        <v>37</v>
      </c>
      <c r="M4" s="70">
        <f>SUMIF(C5:C21,"Material",K5:K21)</f>
        <v>0</v>
      </c>
      <c r="N4" s="70">
        <f>SUMIF(C5:C21,"Mano de Obra",K5:K21)</f>
        <v>0</v>
      </c>
      <c r="O4" s="70">
        <f>SUMIF(C5:C21,"Subcontrato",K5:K21)</f>
        <v>0</v>
      </c>
      <c r="P4" s="70">
        <f>SUMIF(C5:C21,"Ser&amp;Arr",K5:K21)</f>
        <v>19164000</v>
      </c>
      <c r="Q4" s="71">
        <f>SUM(M4:P4)</f>
        <v>19164000</v>
      </c>
    </row>
    <row r="5" spans="1:17" ht="16">
      <c r="B5" s="56"/>
      <c r="C5" s="56" t="s">
        <v>54</v>
      </c>
      <c r="D5" s="57" t="s">
        <v>348</v>
      </c>
      <c r="E5" s="58" t="s">
        <v>377</v>
      </c>
      <c r="F5" s="59">
        <f>ROUNDUP(1/20*2442*0.3,0)</f>
        <v>37</v>
      </c>
      <c r="G5" s="60">
        <f>Motoniveladora</f>
        <v>62000</v>
      </c>
      <c r="H5" s="61">
        <f t="shared" ref="H5:H8" si="0">ROUND(F5*G5,3)</f>
        <v>2294000</v>
      </c>
      <c r="J5" s="75">
        <f>F5*$F$4</f>
        <v>37</v>
      </c>
      <c r="K5" s="67">
        <f>H5*$F$4</f>
        <v>2294000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ROUNDUP(1/20*2442*0.3,0)</f>
        <v>37</v>
      </c>
      <c r="G6" s="60">
        <f>Retroexcavadora</f>
        <v>32000</v>
      </c>
      <c r="H6" s="61">
        <f t="shared" si="0"/>
        <v>1184000</v>
      </c>
      <c r="J6" s="75">
        <f t="shared" ref="J6:J8" si="1">F6*$F$4</f>
        <v>37</v>
      </c>
      <c r="K6" s="67">
        <f t="shared" ref="K6:K8" si="2">H6*$F$4</f>
        <v>1184000</v>
      </c>
    </row>
    <row r="7" spans="1:17" ht="16">
      <c r="B7" s="56"/>
      <c r="C7" s="56" t="s">
        <v>54</v>
      </c>
      <c r="D7" s="57" t="s">
        <v>348</v>
      </c>
      <c r="E7" s="58" t="s">
        <v>349</v>
      </c>
      <c r="F7" s="59">
        <f>ROUNDUP(1/20*2442*0.3,0)</f>
        <v>37</v>
      </c>
      <c r="G7" s="60">
        <f>Tolva</f>
        <v>38000</v>
      </c>
      <c r="H7" s="61">
        <f t="shared" si="0"/>
        <v>1406000</v>
      </c>
      <c r="J7" s="75">
        <f t="shared" ref="J7" si="3">F7*$F$4</f>
        <v>37</v>
      </c>
      <c r="K7" s="67">
        <f t="shared" ref="K7" si="4">H7*$F$4</f>
        <v>1406000</v>
      </c>
    </row>
    <row r="8" spans="1:17" ht="16">
      <c r="B8" s="56"/>
      <c r="C8" s="56" t="s">
        <v>54</v>
      </c>
      <c r="D8" s="57" t="s">
        <v>67</v>
      </c>
      <c r="E8" s="58" t="s">
        <v>70</v>
      </c>
      <c r="F8" s="59">
        <f>ROUNDDOWN(1.3*2442*0.3,0)</f>
        <v>952</v>
      </c>
      <c r="G8" s="60">
        <v>15000</v>
      </c>
      <c r="H8" s="61">
        <f t="shared" si="0"/>
        <v>14280000</v>
      </c>
      <c r="J8" s="75">
        <f t="shared" si="1"/>
        <v>952</v>
      </c>
      <c r="K8" s="67">
        <f t="shared" si="2"/>
        <v>14280000</v>
      </c>
    </row>
    <row r="9" spans="1:17" ht="16">
      <c r="B9" s="62"/>
      <c r="C9" s="62"/>
      <c r="D9" s="63"/>
      <c r="E9" s="64" t="s">
        <v>351</v>
      </c>
      <c r="F9" s="120">
        <f>$F$4</f>
        <v>1</v>
      </c>
      <c r="G9" s="65">
        <f>SUM(H5:H8)</f>
        <v>19164000</v>
      </c>
      <c r="H9" s="65">
        <f t="shared" ref="H9" si="5">ROUND(F9*G9,3)</f>
        <v>19164000</v>
      </c>
      <c r="K9" s="76">
        <f>SUM(K5:K8)</f>
        <v>19164000</v>
      </c>
    </row>
    <row r="11" spans="1:17">
      <c r="C11" s="66"/>
    </row>
  </sheetData>
  <dataValidations count="1">
    <dataValidation type="list" allowBlank="1" showErrorMessage="1" sqref="C9 C4" xr:uid="{9B58A7CA-0A6F-4B4D-BC24-A29D1C945693}">
      <formula1>"Capítulo,Partida,Mano de obra,Maquinaria,Material,Otros,Tarea"</formula1>
    </dataValidation>
  </dataValidations>
  <hyperlinks>
    <hyperlink ref="B1" location="'01.- Presupuesto'!A1" display="02.- Presupuesto'!A1" xr:uid="{3380286D-7C2D-E645-97BC-D23827AFA375}"/>
  </hyperlink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8C4D-872D-49C8-91E1-B6756618FC6B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19</v>
      </c>
      <c r="C4" s="53" t="s">
        <v>36</v>
      </c>
      <c r="D4" s="148" t="str">
        <f>'01.- Presupuesto'!F18</f>
        <v>m3</v>
      </c>
      <c r="E4" s="149" t="str">
        <f>'01.- Presupuesto'!C18</f>
        <v>Excavación, carguió sobre camión y traslado a botadero, e = variable</v>
      </c>
      <c r="F4" s="73">
        <f>'01.- Presupuesto'!G18</f>
        <v>890</v>
      </c>
      <c r="G4" s="55">
        <f>G9</f>
        <v>25500</v>
      </c>
      <c r="H4" s="55">
        <f>H9</f>
        <v>22695000</v>
      </c>
      <c r="J4" s="74" t="s">
        <v>30</v>
      </c>
      <c r="K4" s="74" t="s">
        <v>37</v>
      </c>
      <c r="M4" s="70">
        <f>SUMIF(C5:C21,"Material",K5:K21)</f>
        <v>0</v>
      </c>
      <c r="N4" s="70">
        <f>SUMIF(C5:C21,"Mano de Obra",K5:K21)</f>
        <v>0</v>
      </c>
      <c r="O4" s="70">
        <f>SUMIF(C5:C21,"Subcontrato",K5:K21)</f>
        <v>0</v>
      </c>
      <c r="P4" s="70">
        <f>SUMIF(C5:C21,"Ser&amp;Arr",K5:K21)</f>
        <v>22695000</v>
      </c>
      <c r="Q4" s="71">
        <f>SUM(M4:P4)</f>
        <v>22695000</v>
      </c>
    </row>
    <row r="5" spans="1:17" ht="16">
      <c r="B5" s="56"/>
      <c r="C5" s="56" t="s">
        <v>54</v>
      </c>
      <c r="D5" s="57" t="s">
        <v>348</v>
      </c>
      <c r="E5" s="58" t="s">
        <v>353</v>
      </c>
      <c r="F5" s="59">
        <f>1/20</f>
        <v>0.05</v>
      </c>
      <c r="G5" s="60">
        <f>Excavadora</f>
        <v>50000</v>
      </c>
      <c r="H5" s="61">
        <f t="shared" ref="H5:H9" si="0">ROUND(F5*G5,3)</f>
        <v>2500</v>
      </c>
      <c r="J5" s="75">
        <f>F5*$F$4</f>
        <v>44.5</v>
      </c>
      <c r="K5" s="67">
        <f>H5*$F$4</f>
        <v>2225000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8" si="1">F6*$F$4</f>
        <v>44.5</v>
      </c>
      <c r="K6" s="67">
        <f t="shared" ref="K6:K8" si="2">H6*$F$4</f>
        <v>1424000</v>
      </c>
    </row>
    <row r="7" spans="1:17" ht="16">
      <c r="B7" s="56"/>
      <c r="C7" s="56" t="s">
        <v>54</v>
      </c>
      <c r="D7" s="57" t="s">
        <v>348</v>
      </c>
      <c r="E7" s="58" t="s">
        <v>349</v>
      </c>
      <c r="F7" s="59">
        <f>1/20</f>
        <v>0.05</v>
      </c>
      <c r="G7" s="60">
        <f>Tolva</f>
        <v>38000</v>
      </c>
      <c r="H7" s="61">
        <f t="shared" si="0"/>
        <v>1900</v>
      </c>
      <c r="J7" s="75">
        <f t="shared" si="1"/>
        <v>44.5</v>
      </c>
      <c r="K7" s="67">
        <f t="shared" si="2"/>
        <v>1691000</v>
      </c>
    </row>
    <row r="8" spans="1:17" ht="16">
      <c r="B8" s="56"/>
      <c r="C8" s="56" t="s">
        <v>54</v>
      </c>
      <c r="D8" s="57" t="s">
        <v>67</v>
      </c>
      <c r="E8" s="58" t="s">
        <v>70</v>
      </c>
      <c r="F8" s="59">
        <v>1.3</v>
      </c>
      <c r="G8" s="60">
        <v>15000</v>
      </c>
      <c r="H8" s="61">
        <f t="shared" si="0"/>
        <v>19500</v>
      </c>
      <c r="J8" s="75">
        <f t="shared" si="1"/>
        <v>1157</v>
      </c>
      <c r="K8" s="67">
        <f t="shared" si="2"/>
        <v>17355000</v>
      </c>
    </row>
    <row r="9" spans="1:17" ht="16">
      <c r="B9" s="62"/>
      <c r="C9" s="62"/>
      <c r="D9" s="63"/>
      <c r="E9" s="64" t="s">
        <v>352</v>
      </c>
      <c r="F9" s="120">
        <f>$F$4</f>
        <v>890</v>
      </c>
      <c r="G9" s="65">
        <f>SUM(H5:H8)</f>
        <v>25500</v>
      </c>
      <c r="H9" s="65">
        <f t="shared" si="0"/>
        <v>22695000</v>
      </c>
      <c r="K9" s="76">
        <f>SUM(K5:K8)</f>
        <v>22695000</v>
      </c>
    </row>
    <row r="11" spans="1:17">
      <c r="C11" s="66"/>
    </row>
  </sheetData>
  <dataValidations disablePrompts="1" count="1">
    <dataValidation type="list" allowBlank="1" showErrorMessage="1" sqref="C9 C4" xr:uid="{5F4DF583-AB47-45A3-9E9E-06FB798F711E}">
      <formula1>"Capítulo,Partida,Mano de obra,Maquinaria,Material,Otros,Tarea"</formula1>
    </dataValidation>
  </dataValidations>
  <hyperlinks>
    <hyperlink ref="B1" location="'01.- Presupuesto'!A1" display="02.- Presupuesto'!A1" xr:uid="{4A5E2741-09D1-4163-B897-89DB2F1CF38B}"/>
  </hyperlink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E23D-667C-4006-AD8C-CC1923546DD9}">
  <sheetPr>
    <tabColor theme="9" tint="0.59999389629810485"/>
  </sheetPr>
  <dimension ref="A1:Q17"/>
  <sheetViews>
    <sheetView showGridLines="0" zoomScaleNormal="100" workbookViewId="0">
      <selection activeCell="E26" sqref="E2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86</v>
      </c>
      <c r="C4" s="53" t="s">
        <v>36</v>
      </c>
      <c r="D4" s="148" t="str">
        <f>'01.- Presupuesto'!F19</f>
        <v xml:space="preserve">m3 </v>
      </c>
      <c r="E4" s="149" t="str">
        <f>'01.- Presupuesto'!C19</f>
        <v>Retiro y reposición zanja para ducto malla de puesta a tierra</v>
      </c>
      <c r="F4" s="73">
        <f>'01.- Presupuesto'!G19</f>
        <v>400</v>
      </c>
      <c r="G4" s="55">
        <f>G15</f>
        <v>34101.438000000002</v>
      </c>
      <c r="H4" s="55">
        <f>H15</f>
        <v>13640575.199999999</v>
      </c>
      <c r="J4" s="74" t="s">
        <v>30</v>
      </c>
      <c r="K4" s="74" t="s">
        <v>37</v>
      </c>
      <c r="M4" s="70">
        <f>SUMIF(C5:C27,"Material",K5:K27)</f>
        <v>10400000</v>
      </c>
      <c r="N4" s="70">
        <f>SUMIF(C5:C27,"Mano de Obra",K5:K27)</f>
        <v>1153555.6000000001</v>
      </c>
      <c r="O4" s="70">
        <f>SUMIF(C5:C27,"Subcontrato",K5:K27)</f>
        <v>0</v>
      </c>
      <c r="P4" s="70">
        <f>SUMIF(C5:C27,"Ser&amp;Arr",K5:K27)</f>
        <v>2087019.5999999999</v>
      </c>
      <c r="Q4" s="71">
        <f>SUM(M4:P4)</f>
        <v>13640575.199999999</v>
      </c>
    </row>
    <row r="5" spans="1:17" ht="16">
      <c r="B5" s="56"/>
      <c r="C5" s="56" t="s">
        <v>38</v>
      </c>
      <c r="D5" s="57" t="s">
        <v>67</v>
      </c>
      <c r="E5" s="58" t="s">
        <v>362</v>
      </c>
      <c r="F5" s="59">
        <v>1.3</v>
      </c>
      <c r="G5" s="60">
        <f>Base50</f>
        <v>20000</v>
      </c>
      <c r="H5" s="61">
        <f t="shared" ref="H5:H14" si="0">ROUND(F5*G5,3)</f>
        <v>26000</v>
      </c>
      <c r="J5" s="75">
        <f>F5*$F$4</f>
        <v>520</v>
      </c>
      <c r="K5" s="67">
        <f>H5*$F$4</f>
        <v>10400000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2*1/20</f>
        <v>0.1</v>
      </c>
      <c r="G6" s="60">
        <f>Maestro</f>
        <v>7250</v>
      </c>
      <c r="H6" s="61">
        <f t="shared" si="0"/>
        <v>725</v>
      </c>
      <c r="J6" s="75">
        <f t="shared" ref="J6:J12" si="1">F6*$F$4</f>
        <v>40</v>
      </c>
      <c r="K6" s="67">
        <f t="shared" ref="K6:K12" si="2">H6*$F$4</f>
        <v>290000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2*4*1/20</f>
        <v>0.4</v>
      </c>
      <c r="G7" s="60">
        <f>Jornal</f>
        <v>5397.2222222222226</v>
      </c>
      <c r="H7" s="61">
        <f t="shared" si="0"/>
        <v>2158.8890000000001</v>
      </c>
      <c r="J7" s="75">
        <f t="shared" si="1"/>
        <v>160</v>
      </c>
      <c r="K7" s="67">
        <f t="shared" si="2"/>
        <v>863555.60000000009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2883.8890000000001</v>
      </c>
      <c r="H8" s="61">
        <f>ROUND(F8*G8,3)</f>
        <v>576.77800000000002</v>
      </c>
      <c r="J8" s="75">
        <f t="shared" si="1"/>
        <v>80</v>
      </c>
      <c r="K8" s="67">
        <f t="shared" si="2"/>
        <v>230711.2</v>
      </c>
    </row>
    <row r="9" spans="1:17" ht="16">
      <c r="B9" s="56"/>
      <c r="C9" s="56" t="s">
        <v>54</v>
      </c>
      <c r="D9" s="57" t="s">
        <v>76</v>
      </c>
      <c r="E9" s="58" t="s">
        <v>525</v>
      </c>
      <c r="F9" s="59">
        <v>0.01</v>
      </c>
      <c r="G9" s="60">
        <v>17100</v>
      </c>
      <c r="H9" s="61">
        <f>ROUND(F9*G9,3)</f>
        <v>171</v>
      </c>
      <c r="J9" s="75">
        <f t="shared" ref="J9:J10" si="3">F9*$F$4</f>
        <v>4</v>
      </c>
      <c r="K9" s="67">
        <f t="shared" ref="K9:K10" si="4">H9*$F$4</f>
        <v>68400</v>
      </c>
    </row>
    <row r="10" spans="1:17" ht="16">
      <c r="B10" s="56"/>
      <c r="C10" s="56" t="s">
        <v>54</v>
      </c>
      <c r="D10" s="57" t="s">
        <v>76</v>
      </c>
      <c r="E10" s="58" t="s">
        <v>526</v>
      </c>
      <c r="F10" s="59">
        <v>0.01</v>
      </c>
      <c r="G10" s="60">
        <v>7000</v>
      </c>
      <c r="H10" s="61">
        <f>ROUND(F10*G10,3)</f>
        <v>70</v>
      </c>
      <c r="J10" s="75">
        <f t="shared" si="3"/>
        <v>4</v>
      </c>
      <c r="K10" s="67">
        <f t="shared" si="4"/>
        <v>28000</v>
      </c>
    </row>
    <row r="11" spans="1:17" ht="16">
      <c r="B11" s="56"/>
      <c r="C11" s="56" t="s">
        <v>54</v>
      </c>
      <c r="D11" s="57" t="s">
        <v>348</v>
      </c>
      <c r="E11" s="58" t="s">
        <v>350</v>
      </c>
      <c r="F11" s="59">
        <f>2*1/20</f>
        <v>0.1</v>
      </c>
      <c r="G11" s="60">
        <f>Retroexcavadora</f>
        <v>32000</v>
      </c>
      <c r="H11" s="61">
        <f t="shared" si="0"/>
        <v>3200</v>
      </c>
      <c r="J11" s="75">
        <f t="shared" si="1"/>
        <v>40</v>
      </c>
      <c r="K11" s="67">
        <f t="shared" si="2"/>
        <v>1280000</v>
      </c>
    </row>
    <row r="12" spans="1:17" ht="16">
      <c r="B12" s="56"/>
      <c r="C12" s="56" t="s">
        <v>54</v>
      </c>
      <c r="D12" s="57" t="s">
        <v>71</v>
      </c>
      <c r="E12" s="58" t="s">
        <v>385</v>
      </c>
      <c r="F12" s="59">
        <f>1/20/8</f>
        <v>6.2500000000000003E-3</v>
      </c>
      <c r="G12" s="60">
        <v>25000</v>
      </c>
      <c r="H12" s="61">
        <f t="shared" si="0"/>
        <v>156.25</v>
      </c>
      <c r="J12" s="75">
        <f t="shared" si="1"/>
        <v>2.5</v>
      </c>
      <c r="K12" s="67">
        <f t="shared" si="2"/>
        <v>62500</v>
      </c>
    </row>
    <row r="13" spans="1:17" ht="16">
      <c r="B13" s="56"/>
      <c r="C13" s="56" t="s">
        <v>54</v>
      </c>
      <c r="D13" s="57" t="s">
        <v>76</v>
      </c>
      <c r="E13" s="58" t="s">
        <v>358</v>
      </c>
      <c r="F13" s="59">
        <f>1/F4</f>
        <v>2.5000000000000001E-3</v>
      </c>
      <c r="G13" s="60">
        <f>(0.6+4.4)*UF</f>
        <v>196335</v>
      </c>
      <c r="H13" s="61">
        <f t="shared" si="0"/>
        <v>490.83800000000002</v>
      </c>
      <c r="J13" s="75">
        <f>F13*$F$4</f>
        <v>1</v>
      </c>
      <c r="K13" s="67">
        <f>H13*$F$4</f>
        <v>196335.2</v>
      </c>
    </row>
    <row r="14" spans="1:17" ht="16">
      <c r="B14" s="56"/>
      <c r="C14" s="56" t="s">
        <v>54</v>
      </c>
      <c r="D14" s="57" t="s">
        <v>76</v>
      </c>
      <c r="E14" s="58" t="s">
        <v>386</v>
      </c>
      <c r="F14" s="59">
        <f>3/F4</f>
        <v>7.4999999999999997E-3</v>
      </c>
      <c r="G14" s="60">
        <f>(0.41+4.4/3)*UF</f>
        <v>73691.070000000007</v>
      </c>
      <c r="H14" s="61">
        <f t="shared" si="0"/>
        <v>552.68299999999999</v>
      </c>
      <c r="J14" s="75">
        <f>F14*$F$4</f>
        <v>3</v>
      </c>
      <c r="K14" s="67">
        <f>H14*$F$4</f>
        <v>221073.2</v>
      </c>
    </row>
    <row r="15" spans="1:17" ht="16">
      <c r="B15" s="62"/>
      <c r="C15" s="62"/>
      <c r="D15" s="63"/>
      <c r="E15" s="64" t="s">
        <v>524</v>
      </c>
      <c r="F15" s="120">
        <f>$F$4</f>
        <v>400</v>
      </c>
      <c r="G15" s="65">
        <f>SUM(H5:H14)</f>
        <v>34101.438000000002</v>
      </c>
      <c r="H15" s="65">
        <f t="shared" ref="H15" si="5">ROUND(F15*G15,3)</f>
        <v>13640575.199999999</v>
      </c>
      <c r="K15" s="76">
        <f>SUM(K5:K14)</f>
        <v>13640575.199999997</v>
      </c>
    </row>
    <row r="17" spans="3:3">
      <c r="C17" s="66"/>
    </row>
  </sheetData>
  <dataValidations count="1">
    <dataValidation type="list" allowBlank="1" showErrorMessage="1" sqref="C15 C4" xr:uid="{4D9A7FF9-C984-4476-9A35-086B4AC2B75E}">
      <formula1>"Capítulo,Partida,Mano de obra,Maquinaria,Material,Otros,Tarea"</formula1>
    </dataValidation>
  </dataValidations>
  <hyperlinks>
    <hyperlink ref="B1" location="'01.- Presupuesto'!A1" display="02.- Presupuesto'!A1" xr:uid="{56E6307B-B1FB-6546-BD96-DBB53561E207}"/>
  </hyperlink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0B89-C9E0-4048-961E-E063C1C1CB2C}">
  <sheetPr>
    <tabColor theme="9" tint="0.59999389629810485"/>
  </sheetPr>
  <dimension ref="A1:Q20"/>
  <sheetViews>
    <sheetView showGridLines="0" zoomScaleNormal="100" workbookViewId="0">
      <selection activeCell="E26" sqref="E2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10.164062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53</v>
      </c>
      <c r="C4" s="53" t="s">
        <v>36</v>
      </c>
      <c r="D4" s="148" t="str">
        <f>'01.- Presupuesto'!F20</f>
        <v xml:space="preserve">m3 </v>
      </c>
      <c r="E4" s="149" t="str">
        <f>'01.- Presupuesto'!C20</f>
        <v>Formación y compactación de plataforma e= variable. Relleno e= 20cm</v>
      </c>
      <c r="F4" s="73">
        <f>'01.- Presupuesto'!G20</f>
        <v>754</v>
      </c>
      <c r="G4" s="55">
        <f>G18</f>
        <v>67330.534145888581</v>
      </c>
      <c r="H4" s="55">
        <f>H18</f>
        <v>50767222.745999999</v>
      </c>
      <c r="J4" s="74" t="s">
        <v>30</v>
      </c>
      <c r="K4" s="74" t="s">
        <v>37</v>
      </c>
      <c r="M4" s="70">
        <f>SUMIF(C5:C30,"Material",K5:K30)</f>
        <v>42295257.142857142</v>
      </c>
      <c r="N4" s="70">
        <f>SUMIF(C5:C30,"Mano de Obra",K5:K30)</f>
        <v>1961044.4444444445</v>
      </c>
      <c r="O4" s="70">
        <f>SUMIF(C5:C30,"Subcontrato",K5:K30)</f>
        <v>0</v>
      </c>
      <c r="P4" s="70">
        <f>SUMIF(C5:C30,"Ser&amp;Arr",K5:K30)</f>
        <v>6510921.1524</v>
      </c>
      <c r="Q4" s="71">
        <f>SUM(M4:P4)</f>
        <v>50767222.739701591</v>
      </c>
    </row>
    <row r="5" spans="1:17" ht="16">
      <c r="B5" s="56"/>
      <c r="C5" s="56" t="s">
        <v>38</v>
      </c>
      <c r="D5" s="57" t="s">
        <v>67</v>
      </c>
      <c r="E5" s="58" t="s">
        <v>355</v>
      </c>
      <c r="F5" s="59">
        <v>1.3</v>
      </c>
      <c r="G5" s="60">
        <f>Base100</f>
        <v>22000</v>
      </c>
      <c r="H5" s="61">
        <f t="shared" ref="H5:H9" si="0">ROUND(F5*G5,3)</f>
        <v>28600</v>
      </c>
      <c r="J5" s="75">
        <f>F5*$F$4</f>
        <v>980.2</v>
      </c>
      <c r="K5" s="67">
        <f>H5*$F$4</f>
        <v>21564400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9" si="1">F6*$F$4</f>
        <v>37.700000000000003</v>
      </c>
      <c r="K6" s="67">
        <f t="shared" ref="K6:K9" si="2">H6*$F$4</f>
        <v>1206400</v>
      </c>
    </row>
    <row r="7" spans="1:17" ht="16">
      <c r="B7" s="56"/>
      <c r="C7" s="56" t="s">
        <v>54</v>
      </c>
      <c r="D7" s="57" t="s">
        <v>348</v>
      </c>
      <c r="E7" s="58" t="s">
        <v>356</v>
      </c>
      <c r="F7" s="59">
        <f>1/20</f>
        <v>0.05</v>
      </c>
      <c r="G7" s="60">
        <f>Rodillo</f>
        <v>42000</v>
      </c>
      <c r="H7" s="61">
        <f t="shared" si="0"/>
        <v>2100</v>
      </c>
      <c r="J7" s="75">
        <f t="shared" si="1"/>
        <v>37.700000000000003</v>
      </c>
      <c r="K7" s="67">
        <f t="shared" si="2"/>
        <v>1583400</v>
      </c>
    </row>
    <row r="8" spans="1:17" ht="16">
      <c r="B8" s="56"/>
      <c r="C8" s="56" t="s">
        <v>54</v>
      </c>
      <c r="D8" s="57" t="s">
        <v>348</v>
      </c>
      <c r="E8" s="58" t="s">
        <v>357</v>
      </c>
      <c r="F8" s="59">
        <f>1/20</f>
        <v>0.05</v>
      </c>
      <c r="G8" s="60">
        <f>Aljibe</f>
        <v>32000</v>
      </c>
      <c r="H8" s="61">
        <f t="shared" si="0"/>
        <v>1600</v>
      </c>
      <c r="J8" s="75">
        <f t="shared" si="1"/>
        <v>37.700000000000003</v>
      </c>
      <c r="K8" s="67">
        <f t="shared" si="2"/>
        <v>1206400</v>
      </c>
    </row>
    <row r="9" spans="1:17" ht="16">
      <c r="B9" s="56"/>
      <c r="C9" s="56" t="s">
        <v>54</v>
      </c>
      <c r="D9" s="57" t="s">
        <v>76</v>
      </c>
      <c r="E9" s="58" t="s">
        <v>358</v>
      </c>
      <c r="F9" s="59">
        <f>1/F4</f>
        <v>1.3262599469496021E-3</v>
      </c>
      <c r="G9" s="60">
        <f>(0.6+4.4)*UF</f>
        <v>196335</v>
      </c>
      <c r="H9" s="61">
        <f t="shared" si="0"/>
        <v>260.39100000000002</v>
      </c>
      <c r="J9" s="75">
        <f t="shared" si="1"/>
        <v>1</v>
      </c>
      <c r="K9" s="67">
        <f t="shared" si="2"/>
        <v>196334.81400000001</v>
      </c>
    </row>
    <row r="10" spans="1:17" ht="16">
      <c r="B10" s="56"/>
      <c r="C10" s="56" t="s">
        <v>54</v>
      </c>
      <c r="D10" s="57" t="s">
        <v>76</v>
      </c>
      <c r="E10" s="58" t="s">
        <v>359</v>
      </c>
      <c r="F10" s="59">
        <f>1/F4</f>
        <v>1.3262599469496021E-3</v>
      </c>
      <c r="G10" s="60">
        <f>1.3*UF</f>
        <v>51047.1</v>
      </c>
      <c r="H10" s="61">
        <f>ROUND(F10*G10,3)</f>
        <v>67.701999999999998</v>
      </c>
      <c r="J10" s="75">
        <f>F10*$F$4</f>
        <v>1</v>
      </c>
      <c r="K10" s="67">
        <f>H10*$F$4</f>
        <v>51047.307999999997</v>
      </c>
    </row>
    <row r="11" spans="1:17" ht="16">
      <c r="B11" s="56"/>
      <c r="C11" s="56" t="s">
        <v>54</v>
      </c>
      <c r="D11" s="57" t="s">
        <v>76</v>
      </c>
      <c r="E11" s="58" t="s">
        <v>360</v>
      </c>
      <c r="F11" s="59">
        <f>1/50</f>
        <v>0.02</v>
      </c>
      <c r="G11" s="60">
        <f>(1.7+4.4/3)*UF</f>
        <v>124345.50000000001</v>
      </c>
      <c r="H11" s="61">
        <f>ROUND(F11*G11,3)</f>
        <v>2486.91</v>
      </c>
      <c r="J11" s="75">
        <f>F11*$F$4</f>
        <v>15.08</v>
      </c>
      <c r="K11" s="67">
        <f>H11*$F$4</f>
        <v>1875130.14</v>
      </c>
    </row>
    <row r="12" spans="1:17">
      <c r="B12" s="52" t="s">
        <v>646</v>
      </c>
      <c r="C12" s="53" t="s">
        <v>36</v>
      </c>
      <c r="D12" s="148" t="s">
        <v>65</v>
      </c>
      <c r="E12" s="149" t="s">
        <v>647</v>
      </c>
      <c r="F12" s="73">
        <f>68/F4</f>
        <v>9.0185676392572939E-2</v>
      </c>
      <c r="G12" s="55">
        <f>SUM(H13:H17)</f>
        <v>339472.21299999999</v>
      </c>
      <c r="H12" s="55">
        <f>G12*F12</f>
        <v>30615.531145888592</v>
      </c>
      <c r="J12" s="75"/>
      <c r="K12" s="67"/>
    </row>
    <row r="13" spans="1:17" ht="16">
      <c r="B13" s="56"/>
      <c r="C13" s="56" t="s">
        <v>38</v>
      </c>
      <c r="D13" s="57" t="s">
        <v>76</v>
      </c>
      <c r="E13" s="58" t="s">
        <v>647</v>
      </c>
      <c r="F13" s="59">
        <f>6/2</f>
        <v>3</v>
      </c>
      <c r="G13" s="60">
        <f>54290/1.19</f>
        <v>45621.848739495799</v>
      </c>
      <c r="H13" s="61">
        <f t="shared" ref="H13:H16" si="3">ROUND(F13*G13,3)</f>
        <v>136865.546</v>
      </c>
      <c r="J13" s="75">
        <f>F13*$F$4*F12</f>
        <v>204</v>
      </c>
      <c r="K13" s="67">
        <f>G13*J13</f>
        <v>9306857.1428571437</v>
      </c>
    </row>
    <row r="14" spans="1:17" ht="16">
      <c r="B14" s="56"/>
      <c r="C14" s="56" t="s">
        <v>38</v>
      </c>
      <c r="D14" s="57" t="s">
        <v>67</v>
      </c>
      <c r="E14" s="58" t="s">
        <v>513</v>
      </c>
      <c r="F14" s="59">
        <f>1*1*6</f>
        <v>6</v>
      </c>
      <c r="G14" s="60">
        <f>Grava</f>
        <v>28000</v>
      </c>
      <c r="H14" s="61">
        <f t="shared" si="3"/>
        <v>168000</v>
      </c>
      <c r="J14" s="75">
        <f>F14*$F$4*F12</f>
        <v>408</v>
      </c>
      <c r="K14" s="67">
        <f t="shared" ref="K14:K17" si="4">G14*J14</f>
        <v>11424000</v>
      </c>
    </row>
    <row r="15" spans="1:17" ht="16">
      <c r="B15" s="56"/>
      <c r="C15" s="56" t="s">
        <v>40</v>
      </c>
      <c r="D15" s="57" t="s">
        <v>41</v>
      </c>
      <c r="E15" s="58" t="s">
        <v>90</v>
      </c>
      <c r="F15" s="59">
        <v>1</v>
      </c>
      <c r="G15" s="60">
        <f>Maestro</f>
        <v>7250</v>
      </c>
      <c r="H15" s="61">
        <f t="shared" si="3"/>
        <v>7250</v>
      </c>
      <c r="J15" s="75">
        <f>F15*$F$4*F12</f>
        <v>68</v>
      </c>
      <c r="K15" s="67">
        <f t="shared" si="4"/>
        <v>493000</v>
      </c>
    </row>
    <row r="16" spans="1:17" ht="16">
      <c r="C16" s="56" t="s">
        <v>40</v>
      </c>
      <c r="D16" s="57" t="s">
        <v>41</v>
      </c>
      <c r="E16" s="58" t="s">
        <v>68</v>
      </c>
      <c r="F16" s="59">
        <v>4</v>
      </c>
      <c r="G16" s="60">
        <f>Jornal</f>
        <v>5397.2222222222226</v>
      </c>
      <c r="H16" s="61">
        <f t="shared" si="3"/>
        <v>21588.888999999999</v>
      </c>
      <c r="J16" s="75">
        <f>F16*$F$4*F12</f>
        <v>272</v>
      </c>
      <c r="K16" s="67">
        <f t="shared" si="4"/>
        <v>1468044.4444444445</v>
      </c>
    </row>
    <row r="17" spans="2:11" ht="16">
      <c r="C17" s="56" t="s">
        <v>54</v>
      </c>
      <c r="D17" s="57" t="s">
        <v>42</v>
      </c>
      <c r="E17" s="58" t="s">
        <v>55</v>
      </c>
      <c r="F17" s="59">
        <v>0.2</v>
      </c>
      <c r="G17" s="60">
        <f>SUM(H15:H16)</f>
        <v>28838.888999999999</v>
      </c>
      <c r="H17" s="61">
        <f>ROUND(F17*G17,3)</f>
        <v>5767.7780000000002</v>
      </c>
      <c r="J17" s="75">
        <f>F17*$F$4*F12</f>
        <v>13.6</v>
      </c>
      <c r="K17" s="67">
        <f t="shared" si="4"/>
        <v>392208.89039999997</v>
      </c>
    </row>
    <row r="18" spans="2:11" ht="16">
      <c r="B18" s="62"/>
      <c r="C18" s="62"/>
      <c r="D18" s="63"/>
      <c r="E18" s="64" t="s">
        <v>527</v>
      </c>
      <c r="F18" s="120">
        <f>$F$4</f>
        <v>754</v>
      </c>
      <c r="G18" s="65">
        <f>SUM(H5:H12)</f>
        <v>67330.534145888581</v>
      </c>
      <c r="H18" s="65">
        <f>ROUND(F18*G18,3)</f>
        <v>50767222.745999999</v>
      </c>
      <c r="K18" s="76">
        <f>SUM(K5:K17)</f>
        <v>50767222.739701591</v>
      </c>
    </row>
    <row r="20" spans="2:11">
      <c r="C20" s="66"/>
    </row>
  </sheetData>
  <dataValidations count="1">
    <dataValidation type="list" allowBlank="1" showErrorMessage="1" sqref="C18 C4 C12" xr:uid="{1B89F147-C54D-4C81-BBEB-7491D68B8120}">
      <formula1>"Capítulo,Partida,Mano de obra,Maquinaria,Material,Otros,Tarea"</formula1>
    </dataValidation>
  </dataValidations>
  <hyperlinks>
    <hyperlink ref="B1" location="'01.- Presupuesto'!A1" display="02.- Presupuesto'!A1" xr:uid="{FD3BB7D5-4346-BD41-AF87-43C15F74F5F4}"/>
  </hyperlink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CCE3-02BA-4522-8167-4EA4FB8C0AF5}">
  <sheetPr>
    <tabColor theme="9" tint="0.59999389629810485"/>
  </sheetPr>
  <dimension ref="A1:Q8"/>
  <sheetViews>
    <sheetView showGridLines="0" zoomScaleNormal="100" workbookViewId="0">
      <selection activeCell="E26" sqref="E2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97</v>
      </c>
      <c r="C4" s="53" t="s">
        <v>36</v>
      </c>
      <c r="D4" s="148" t="str">
        <f>'01.- Presupuesto'!F21</f>
        <v>gl</v>
      </c>
      <c r="E4" s="149" t="str">
        <f>'01.- Presupuesto'!C21</f>
        <v>Tratamiento de taludes de corte con hidrosiembra según manual de carreteras</v>
      </c>
      <c r="F4" s="73">
        <f>'01.- Presupuesto'!G21</f>
        <v>1</v>
      </c>
      <c r="G4" s="55">
        <f>G6</f>
        <v>42742</v>
      </c>
      <c r="H4" s="55">
        <f>H6</f>
        <v>42742</v>
      </c>
      <c r="J4" s="74" t="s">
        <v>30</v>
      </c>
      <c r="K4" s="74" t="s">
        <v>37</v>
      </c>
      <c r="M4" s="70">
        <f>SUMIF(C5:C18,"Material",K5:K18)</f>
        <v>0</v>
      </c>
      <c r="N4" s="70">
        <f>SUMIF(C5:C18,"Mano de Obra",K5:K18)</f>
        <v>0</v>
      </c>
      <c r="O4" s="70">
        <f>SUMIF(C5:C18,"Subcontrato",K5:K18)</f>
        <v>42742</v>
      </c>
      <c r="P4" s="70">
        <f>SUMIF(C5:C18,"Ser&amp;Arr",K5:K18)</f>
        <v>0</v>
      </c>
      <c r="Q4" s="71">
        <f>SUM(M4:P4)</f>
        <v>42742</v>
      </c>
    </row>
    <row r="5" spans="1:17" ht="16">
      <c r="B5" s="56"/>
      <c r="C5" s="56" t="s">
        <v>94</v>
      </c>
      <c r="D5" s="57" t="s">
        <v>18</v>
      </c>
      <c r="E5" s="58" t="s">
        <v>561</v>
      </c>
      <c r="F5" s="59">
        <v>1</v>
      </c>
      <c r="G5" s="60">
        <f>SCHidrosembrado</f>
        <v>42742</v>
      </c>
      <c r="H5" s="61">
        <f t="shared" ref="H5:H6" si="0">ROUND(F5*G5,3)</f>
        <v>42742</v>
      </c>
      <c r="J5" s="75">
        <f>F5*$F$4</f>
        <v>1</v>
      </c>
      <c r="K5" s="67">
        <f>H5*$F$4</f>
        <v>42742</v>
      </c>
    </row>
    <row r="6" spans="1:17" ht="16">
      <c r="B6" s="62"/>
      <c r="C6" s="62"/>
      <c r="D6" s="63"/>
      <c r="E6" s="64" t="s">
        <v>563</v>
      </c>
      <c r="F6" s="120">
        <f>$F$4</f>
        <v>1</v>
      </c>
      <c r="G6" s="65">
        <f>SUM(H5:H5)</f>
        <v>42742</v>
      </c>
      <c r="H6" s="65">
        <f t="shared" si="0"/>
        <v>42742</v>
      </c>
      <c r="K6" s="76">
        <f>SUM(K5:K5)</f>
        <v>42742</v>
      </c>
    </row>
    <row r="8" spans="1:17">
      <c r="C8" s="66"/>
    </row>
  </sheetData>
  <dataValidations count="1">
    <dataValidation type="list" allowBlank="1" showErrorMessage="1" sqref="C6 C4" xr:uid="{28F80B1A-CD98-46FB-AA0A-B0AF3E9323C5}">
      <formula1>"Capítulo,Partida,Mano de obra,Maquinaria,Material,Otros,Tarea"</formula1>
    </dataValidation>
  </dataValidations>
  <hyperlinks>
    <hyperlink ref="B1" location="'01.- Presupuesto'!A1" display="02.- Presupuesto'!A1" xr:uid="{621F8042-AC8E-C34B-AB2C-949B0A194CE6}"/>
  </hyperlink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CCE0-33D2-4164-B47A-122B0C431F0F}">
  <sheetPr>
    <tabColor theme="9" tint="0.59999389629810485"/>
  </sheetPr>
  <dimension ref="A1:Q11"/>
  <sheetViews>
    <sheetView showGridLines="0" zoomScaleNormal="100" workbookViewId="0">
      <selection activeCell="E26" sqref="E2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51</v>
      </c>
      <c r="C4" s="53" t="s">
        <v>36</v>
      </c>
      <c r="D4" s="148" t="str">
        <f>'01.- Presupuesto'!F23</f>
        <v xml:space="preserve">m3 </v>
      </c>
      <c r="E4" s="149" t="str">
        <f>'01.- Presupuesto'!C23</f>
        <v>Sobrexcavación para caminos interiores, carguio sobre camión y traslado</v>
      </c>
      <c r="F4" s="73">
        <f>'01.- Presupuesto'!G23</f>
        <v>760</v>
      </c>
      <c r="G4" s="55">
        <f>G9</f>
        <v>25500</v>
      </c>
      <c r="H4" s="55">
        <f>H9</f>
        <v>19380000</v>
      </c>
      <c r="J4" s="74" t="s">
        <v>30</v>
      </c>
      <c r="K4" s="74" t="s">
        <v>37</v>
      </c>
      <c r="M4" s="70">
        <f>SUMIF(C5:C21,"Material",K5:K21)</f>
        <v>0</v>
      </c>
      <c r="N4" s="70">
        <f>SUMIF(C5:C21,"Mano de Obra",K5:K21)</f>
        <v>0</v>
      </c>
      <c r="O4" s="70">
        <f>SUMIF(C5:C21,"Subcontrato",K5:K21)</f>
        <v>0</v>
      </c>
      <c r="P4" s="70">
        <f>SUMIF(C5:C21,"Ser&amp;Arr",K5:K21)</f>
        <v>19380000</v>
      </c>
      <c r="Q4" s="71">
        <f>SUM(M4:P4)</f>
        <v>19380000</v>
      </c>
    </row>
    <row r="5" spans="1:17" ht="16">
      <c r="B5" s="56"/>
      <c r="C5" s="56" t="s">
        <v>54</v>
      </c>
      <c r="D5" s="57" t="s">
        <v>348</v>
      </c>
      <c r="E5" s="58" t="s">
        <v>353</v>
      </c>
      <c r="F5" s="59">
        <f>1/20</f>
        <v>0.05</v>
      </c>
      <c r="G5" s="60">
        <f>Excavadora</f>
        <v>50000</v>
      </c>
      <c r="H5" s="61">
        <f t="shared" ref="H5:H8" si="0">ROUND(F5*G5,3)</f>
        <v>2500</v>
      </c>
      <c r="J5" s="75">
        <f>F5*$F$4</f>
        <v>38</v>
      </c>
      <c r="K5" s="67">
        <f>H5*$F$4</f>
        <v>1900000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8" si="1">F6*$F$4</f>
        <v>38</v>
      </c>
      <c r="K6" s="67">
        <f t="shared" ref="K6:K8" si="2">H6*$F$4</f>
        <v>1216000</v>
      </c>
    </row>
    <row r="7" spans="1:17" ht="16">
      <c r="B7" s="56"/>
      <c r="C7" s="56" t="s">
        <v>54</v>
      </c>
      <c r="D7" s="57" t="s">
        <v>348</v>
      </c>
      <c r="E7" s="58" t="s">
        <v>349</v>
      </c>
      <c r="F7" s="59">
        <f>1/20</f>
        <v>0.05</v>
      </c>
      <c r="G7" s="60">
        <f>Tolva</f>
        <v>38000</v>
      </c>
      <c r="H7" s="61">
        <f t="shared" si="0"/>
        <v>1900</v>
      </c>
      <c r="J7" s="75">
        <f t="shared" si="1"/>
        <v>38</v>
      </c>
      <c r="K7" s="67">
        <f t="shared" si="2"/>
        <v>1444000</v>
      </c>
    </row>
    <row r="8" spans="1:17" ht="16">
      <c r="B8" s="56"/>
      <c r="C8" s="56" t="s">
        <v>54</v>
      </c>
      <c r="D8" s="57" t="s">
        <v>67</v>
      </c>
      <c r="E8" s="58" t="s">
        <v>70</v>
      </c>
      <c r="F8" s="59">
        <v>1.3</v>
      </c>
      <c r="G8" s="60">
        <v>15000</v>
      </c>
      <c r="H8" s="61">
        <f t="shared" si="0"/>
        <v>19500</v>
      </c>
      <c r="J8" s="75">
        <f t="shared" si="1"/>
        <v>988</v>
      </c>
      <c r="K8" s="67">
        <f t="shared" si="2"/>
        <v>14820000</v>
      </c>
    </row>
    <row r="9" spans="1:17" ht="16">
      <c r="B9" s="62"/>
      <c r="C9" s="62"/>
      <c r="D9" s="63"/>
      <c r="E9" s="64" t="s">
        <v>354</v>
      </c>
      <c r="F9" s="120">
        <f>$F$4</f>
        <v>760</v>
      </c>
      <c r="G9" s="65">
        <f>SUM(H5:H8)</f>
        <v>25500</v>
      </c>
      <c r="H9" s="65">
        <f t="shared" ref="H9" si="3">ROUND(F9*G9,3)</f>
        <v>19380000</v>
      </c>
      <c r="K9" s="76">
        <f>SUM(K5:K8)</f>
        <v>19380000</v>
      </c>
    </row>
    <row r="11" spans="1:17">
      <c r="C11" s="66"/>
    </row>
  </sheetData>
  <dataValidations count="1">
    <dataValidation type="list" allowBlank="1" showErrorMessage="1" sqref="C9 C4" xr:uid="{F7716657-D9AB-4090-B9F8-BCC2E2D32C87}">
      <formula1>"Capítulo,Partida,Mano de obra,Maquinaria,Material,Otros,Tarea"</formula1>
    </dataValidation>
  </dataValidations>
  <hyperlinks>
    <hyperlink ref="B1" location="'01.- Presupuesto'!A1" display="02.- Presupuesto'!A1" xr:uid="{E02D7F4E-69D8-9249-8D40-7672BFC83353}"/>
  </hyperlinks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EEDE-1009-4748-8683-4FE3C9CC42F3}">
  <sheetPr>
    <tabColor theme="9" tint="0.59999389629810485"/>
  </sheetPr>
  <dimension ref="A1:Q14"/>
  <sheetViews>
    <sheetView showGridLines="0" zoomScaleNormal="100" workbookViewId="0">
      <selection activeCell="E26" sqref="E2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52</v>
      </c>
      <c r="C4" s="53" t="s">
        <v>36</v>
      </c>
      <c r="D4" s="148" t="str">
        <f>'01.- Presupuesto'!F24</f>
        <v>m3</v>
      </c>
      <c r="E4" s="149" t="str">
        <f>'01.- Presupuesto'!C24</f>
        <v>Suministro y colocación Base Granular CBR &gt;100% e=26cm</v>
      </c>
      <c r="F4" s="73">
        <f>'01.- Presupuesto'!G24</f>
        <v>234</v>
      </c>
      <c r="G4" s="55">
        <f>G12</f>
        <v>37444.097999999998</v>
      </c>
      <c r="H4" s="55">
        <f>H12</f>
        <v>8761918.932</v>
      </c>
      <c r="J4" s="74" t="s">
        <v>30</v>
      </c>
      <c r="K4" s="74" t="s">
        <v>37</v>
      </c>
      <c r="M4" s="70">
        <f>SUMIF(C5:C24,"Material",K5:K24)</f>
        <v>6692400</v>
      </c>
      <c r="N4" s="70">
        <f>SUMIF(C5:C24,"Mano de Obra",K5:K24)</f>
        <v>0</v>
      </c>
      <c r="O4" s="70">
        <f>SUMIF(C5:C24,"Subcontrato",K5:K24)</f>
        <v>0</v>
      </c>
      <c r="P4" s="70">
        <f>SUMIF(C5:C24,"Ser&amp;Arr",K5:K24)</f>
        <v>2069518.932</v>
      </c>
      <c r="Q4" s="71">
        <f>SUM(M4:P4)</f>
        <v>8761918.932</v>
      </c>
    </row>
    <row r="5" spans="1:17" ht="16">
      <c r="B5" s="56"/>
      <c r="C5" s="56" t="s">
        <v>38</v>
      </c>
      <c r="D5" s="57" t="s">
        <v>67</v>
      </c>
      <c r="E5" s="58" t="s">
        <v>355</v>
      </c>
      <c r="F5" s="59">
        <v>1.3</v>
      </c>
      <c r="G5" s="60">
        <f>Base100</f>
        <v>22000</v>
      </c>
      <c r="H5" s="61">
        <f t="shared" ref="H5:H11" si="0">ROUND(F5*G5,3)</f>
        <v>28600</v>
      </c>
      <c r="J5" s="75">
        <f>F5*$F$4</f>
        <v>304.2</v>
      </c>
      <c r="K5" s="67">
        <f>H5*$F$4</f>
        <v>6692400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11" si="1">F6*$F$4</f>
        <v>11.700000000000001</v>
      </c>
      <c r="K6" s="67">
        <f t="shared" ref="K6:K11" si="2">H6*$F$4</f>
        <v>374400</v>
      </c>
    </row>
    <row r="7" spans="1:17" ht="16">
      <c r="B7" s="56"/>
      <c r="C7" s="56" t="s">
        <v>54</v>
      </c>
      <c r="D7" s="57" t="s">
        <v>348</v>
      </c>
      <c r="E7" s="58" t="s">
        <v>356</v>
      </c>
      <c r="F7" s="59">
        <f>1/20</f>
        <v>0.05</v>
      </c>
      <c r="G7" s="60">
        <f>Rodillo</f>
        <v>42000</v>
      </c>
      <c r="H7" s="61">
        <f t="shared" si="0"/>
        <v>2100</v>
      </c>
      <c r="J7" s="75">
        <f t="shared" si="1"/>
        <v>11.700000000000001</v>
      </c>
      <c r="K7" s="67">
        <f t="shared" si="2"/>
        <v>491400</v>
      </c>
    </row>
    <row r="8" spans="1:17" ht="16">
      <c r="B8" s="56"/>
      <c r="C8" s="56" t="s">
        <v>54</v>
      </c>
      <c r="D8" s="57" t="s">
        <v>348</v>
      </c>
      <c r="E8" s="58" t="s">
        <v>357</v>
      </c>
      <c r="F8" s="59">
        <f>1/20</f>
        <v>0.05</v>
      </c>
      <c r="G8" s="60">
        <f>Aljibe</f>
        <v>32000</v>
      </c>
      <c r="H8" s="61">
        <f t="shared" si="0"/>
        <v>1600</v>
      </c>
      <c r="J8" s="75">
        <f t="shared" si="1"/>
        <v>11.700000000000001</v>
      </c>
      <c r="K8" s="67">
        <f t="shared" si="2"/>
        <v>374400</v>
      </c>
    </row>
    <row r="9" spans="1:17" ht="16">
      <c r="B9" s="56"/>
      <c r="C9" s="56" t="s">
        <v>54</v>
      </c>
      <c r="D9" s="57" t="s">
        <v>76</v>
      </c>
      <c r="E9" s="58" t="s">
        <v>358</v>
      </c>
      <c r="F9" s="59">
        <f>1/F4</f>
        <v>4.2735042735042739E-3</v>
      </c>
      <c r="G9" s="60">
        <f>(0.6+4.4)*UF</f>
        <v>196335</v>
      </c>
      <c r="H9" s="61">
        <f t="shared" ref="H9:H10" si="3">ROUND(F9*G9,3)</f>
        <v>839.03800000000001</v>
      </c>
      <c r="J9" s="75">
        <f t="shared" ref="J9:J10" si="4">F9*$F$4</f>
        <v>1</v>
      </c>
      <c r="K9" s="67">
        <f t="shared" ref="K9:K10" si="5">H9*$F$4</f>
        <v>196334.89199999999</v>
      </c>
    </row>
    <row r="10" spans="1:17" ht="16">
      <c r="B10" s="56"/>
      <c r="C10" s="56" t="s">
        <v>54</v>
      </c>
      <c r="D10" s="57" t="s">
        <v>76</v>
      </c>
      <c r="E10" s="58" t="s">
        <v>359</v>
      </c>
      <c r="F10" s="59">
        <f>1/F4</f>
        <v>4.2735042735042739E-3</v>
      </c>
      <c r="G10" s="60">
        <f>1.3*UF</f>
        <v>51047.1</v>
      </c>
      <c r="H10" s="61">
        <f t="shared" si="3"/>
        <v>218.15</v>
      </c>
      <c r="J10" s="75">
        <f t="shared" si="4"/>
        <v>1</v>
      </c>
      <c r="K10" s="67">
        <f t="shared" si="5"/>
        <v>51047.1</v>
      </c>
    </row>
    <row r="11" spans="1:17" ht="16">
      <c r="B11" s="56"/>
      <c r="C11" s="56" t="s">
        <v>54</v>
      </c>
      <c r="D11" s="57" t="s">
        <v>76</v>
      </c>
      <c r="E11" s="58" t="s">
        <v>360</v>
      </c>
      <c r="F11" s="59">
        <f>1/50</f>
        <v>0.02</v>
      </c>
      <c r="G11" s="60">
        <f>(1.7+4.4/3)*UF</f>
        <v>124345.50000000001</v>
      </c>
      <c r="H11" s="61">
        <f t="shared" si="0"/>
        <v>2486.91</v>
      </c>
      <c r="J11" s="75">
        <f t="shared" si="1"/>
        <v>4.68</v>
      </c>
      <c r="K11" s="67">
        <f t="shared" si="2"/>
        <v>581936.93999999994</v>
      </c>
    </row>
    <row r="12" spans="1:17" ht="16">
      <c r="B12" s="62"/>
      <c r="C12" s="62"/>
      <c r="D12" s="63"/>
      <c r="E12" s="64" t="s">
        <v>361</v>
      </c>
      <c r="F12" s="120">
        <f>$F$4</f>
        <v>234</v>
      </c>
      <c r="G12" s="65">
        <f>SUM(H5:H11)</f>
        <v>37444.097999999998</v>
      </c>
      <c r="H12" s="65">
        <f t="shared" ref="H12" si="6">ROUND(F12*G12,3)</f>
        <v>8761918.932</v>
      </c>
      <c r="K12" s="76">
        <f>SUM(K5:K11)</f>
        <v>8761918.932</v>
      </c>
    </row>
    <row r="14" spans="1:17">
      <c r="C14" s="66"/>
    </row>
  </sheetData>
  <dataValidations count="1">
    <dataValidation type="list" allowBlank="1" showErrorMessage="1" sqref="C12 C4" xr:uid="{6B8DC0E9-9785-451A-8DAA-6FE261FB8324}">
      <formula1>"Capítulo,Partida,Mano de obra,Maquinaria,Material,Otros,Tarea"</formula1>
    </dataValidation>
  </dataValidations>
  <hyperlinks>
    <hyperlink ref="B1" location="'01.- Presupuesto'!A1" display="02.- Presupuesto'!A1" xr:uid="{7596C369-D494-A245-BBED-0081DC74426D}"/>
  </hyperlinks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08ED-0D0B-412E-9050-F08823D4758E}">
  <sheetPr>
    <tabColor theme="9" tint="0.59999389629810485"/>
  </sheetPr>
  <dimension ref="A1:Q14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77</v>
      </c>
      <c r="C4" s="53" t="s">
        <v>36</v>
      </c>
      <c r="D4" s="148" t="str">
        <f>'01.- Presupuesto'!F25</f>
        <v>m3</v>
      </c>
      <c r="E4" s="149" t="str">
        <f>'01.- Presupuesto'!C25</f>
        <v>Suministro y colocación Sub-Base granular CBR &gt; 50% e=20cm</v>
      </c>
      <c r="F4" s="73">
        <f>'01.- Presupuesto'!G25</f>
        <v>180</v>
      </c>
      <c r="G4" s="55">
        <f>G12</f>
        <v>35161.255000000005</v>
      </c>
      <c r="H4" s="55">
        <f>H12</f>
        <v>6329025.9000000004</v>
      </c>
      <c r="J4" s="74" t="s">
        <v>30</v>
      </c>
      <c r="K4" s="74" t="s">
        <v>37</v>
      </c>
      <c r="M4" s="70">
        <f>SUMIF(C5:C24,"Material",K5:K24)</f>
        <v>4680000</v>
      </c>
      <c r="N4" s="70">
        <f>SUMIF(C5:C24,"Mano de Obra",K5:K24)</f>
        <v>0</v>
      </c>
      <c r="O4" s="70">
        <f>SUMIF(C5:C24,"Subcontrato",K5:K24)</f>
        <v>0</v>
      </c>
      <c r="P4" s="70">
        <f>SUMIF(C5:C24,"Ser&amp;Arr",K5:K24)</f>
        <v>1649025.9000000001</v>
      </c>
      <c r="Q4" s="71">
        <f>SUM(M4:P4)</f>
        <v>6329025.9000000004</v>
      </c>
    </row>
    <row r="5" spans="1:17" ht="16">
      <c r="B5" s="56"/>
      <c r="C5" s="56" t="s">
        <v>38</v>
      </c>
      <c r="D5" s="57" t="s">
        <v>67</v>
      </c>
      <c r="E5" s="58" t="s">
        <v>362</v>
      </c>
      <c r="F5" s="59">
        <v>1.3</v>
      </c>
      <c r="G5" s="60">
        <f>Base50</f>
        <v>20000</v>
      </c>
      <c r="H5" s="61">
        <f t="shared" ref="H5:H11" si="0">ROUND(F5*G5,3)</f>
        <v>26000</v>
      </c>
      <c r="J5" s="75">
        <f>F5*$F$4</f>
        <v>234</v>
      </c>
      <c r="K5" s="67">
        <f>H5*$F$4</f>
        <v>4680000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10" si="1">F6*$F$4</f>
        <v>9</v>
      </c>
      <c r="K6" s="67">
        <f t="shared" ref="K6:K10" si="2">H6*$F$4</f>
        <v>288000</v>
      </c>
    </row>
    <row r="7" spans="1:17" ht="16">
      <c r="B7" s="56"/>
      <c r="C7" s="56" t="s">
        <v>54</v>
      </c>
      <c r="D7" s="57" t="s">
        <v>348</v>
      </c>
      <c r="E7" s="58" t="s">
        <v>356</v>
      </c>
      <c r="F7" s="59">
        <f>1/20</f>
        <v>0.05</v>
      </c>
      <c r="G7" s="60">
        <f>Rodillo</f>
        <v>42000</v>
      </c>
      <c r="H7" s="61">
        <f t="shared" si="0"/>
        <v>2100</v>
      </c>
      <c r="J7" s="75">
        <f t="shared" si="1"/>
        <v>9</v>
      </c>
      <c r="K7" s="67">
        <f t="shared" si="2"/>
        <v>378000</v>
      </c>
    </row>
    <row r="8" spans="1:17" ht="16">
      <c r="B8" s="56"/>
      <c r="C8" s="56" t="s">
        <v>54</v>
      </c>
      <c r="D8" s="57" t="s">
        <v>348</v>
      </c>
      <c r="E8" s="58" t="s">
        <v>357</v>
      </c>
      <c r="F8" s="59">
        <f>1/20</f>
        <v>0.05</v>
      </c>
      <c r="G8" s="60">
        <f>Aljibe</f>
        <v>32000</v>
      </c>
      <c r="H8" s="61">
        <f t="shared" si="0"/>
        <v>1600</v>
      </c>
      <c r="J8" s="75">
        <f t="shared" si="1"/>
        <v>9</v>
      </c>
      <c r="K8" s="67">
        <f t="shared" si="2"/>
        <v>288000</v>
      </c>
    </row>
    <row r="9" spans="1:17" ht="16">
      <c r="B9" s="56"/>
      <c r="C9" s="56" t="s">
        <v>54</v>
      </c>
      <c r="D9" s="57" t="s">
        <v>76</v>
      </c>
      <c r="E9" s="58" t="s">
        <v>358</v>
      </c>
      <c r="F9" s="59">
        <f>1/F4</f>
        <v>5.5555555555555558E-3</v>
      </c>
      <c r="G9" s="60">
        <f>(0.6+4.4)*UF</f>
        <v>196335</v>
      </c>
      <c r="H9" s="61">
        <f t="shared" si="0"/>
        <v>1090.75</v>
      </c>
      <c r="J9" s="75">
        <f t="shared" si="1"/>
        <v>1</v>
      </c>
      <c r="K9" s="67">
        <f t="shared" si="2"/>
        <v>196335</v>
      </c>
    </row>
    <row r="10" spans="1:17" ht="16">
      <c r="B10" s="56"/>
      <c r="C10" s="56" t="s">
        <v>54</v>
      </c>
      <c r="D10" s="57" t="s">
        <v>76</v>
      </c>
      <c r="E10" s="58" t="s">
        <v>359</v>
      </c>
      <c r="F10" s="59">
        <f>1/F4</f>
        <v>5.5555555555555558E-3</v>
      </c>
      <c r="G10" s="60">
        <f>1.3*UF</f>
        <v>51047.1</v>
      </c>
      <c r="H10" s="61">
        <f t="shared" si="0"/>
        <v>283.59500000000003</v>
      </c>
      <c r="J10" s="75">
        <f t="shared" si="1"/>
        <v>1</v>
      </c>
      <c r="K10" s="67">
        <f t="shared" si="2"/>
        <v>51047.100000000006</v>
      </c>
    </row>
    <row r="11" spans="1:17" ht="16">
      <c r="B11" s="56"/>
      <c r="C11" s="56" t="s">
        <v>54</v>
      </c>
      <c r="D11" s="57" t="s">
        <v>76</v>
      </c>
      <c r="E11" s="58" t="s">
        <v>360</v>
      </c>
      <c r="F11" s="59">
        <f>1/50</f>
        <v>0.02</v>
      </c>
      <c r="G11" s="60">
        <f>(1.7+4.4/3)*UF</f>
        <v>124345.50000000001</v>
      </c>
      <c r="H11" s="61">
        <f t="shared" si="0"/>
        <v>2486.91</v>
      </c>
      <c r="J11" s="75">
        <f>F11*$F$4</f>
        <v>3.6</v>
      </c>
      <c r="K11" s="67">
        <f>H11*$F$4</f>
        <v>447643.8</v>
      </c>
    </row>
    <row r="12" spans="1:17" ht="16">
      <c r="B12" s="62"/>
      <c r="C12" s="62"/>
      <c r="D12" s="63"/>
      <c r="E12" s="64" t="s">
        <v>363</v>
      </c>
      <c r="F12" s="120">
        <f>$F$4</f>
        <v>180</v>
      </c>
      <c r="G12" s="65">
        <f>SUM(H5:H11)</f>
        <v>35161.255000000005</v>
      </c>
      <c r="H12" s="65">
        <f t="shared" ref="H12" si="3">ROUND(F12*G12,3)</f>
        <v>6329025.9000000004</v>
      </c>
      <c r="K12" s="76">
        <f>SUM(K5:K11)</f>
        <v>6329025.8999999994</v>
      </c>
    </row>
    <row r="14" spans="1:17">
      <c r="C14" s="66"/>
    </row>
  </sheetData>
  <dataValidations count="1">
    <dataValidation type="list" allowBlank="1" showErrorMessage="1" sqref="C12 C4" xr:uid="{518850D9-E1A7-4AF7-BA99-CEC905EBBED2}">
      <formula1>"Capítulo,Partida,Mano de obra,Maquinaria,Material,Otros,Tarea"</formula1>
    </dataValidation>
  </dataValidations>
  <hyperlinks>
    <hyperlink ref="B1" location="'01.- Presupuesto'!A1" display="02.- Presupuesto'!A1" xr:uid="{58177378-4601-D144-A066-27CBD7E30395}"/>
  </hyperlinks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7EDC-AED4-48FA-B6DB-0E0B15B44339}">
  <sheetPr>
    <tabColor theme="9" tint="0.59999389629810485"/>
  </sheetPr>
  <dimension ref="A1:Q9"/>
  <sheetViews>
    <sheetView showGridLines="0" zoomScaleNormal="100" workbookViewId="0">
      <selection activeCell="E26" sqref="E2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78</v>
      </c>
      <c r="C4" s="53" t="s">
        <v>36</v>
      </c>
      <c r="D4" s="148" t="str">
        <f>'01.- Presupuesto'!F26</f>
        <v>m3</v>
      </c>
      <c r="E4" s="149" t="str">
        <f>'01.- Presupuesto'!C26</f>
        <v>Suministro y colocación de bolones para estabilización de suelos e=30cm</v>
      </c>
      <c r="F4" s="73">
        <f>'01.- Presupuesto'!G26</f>
        <v>270</v>
      </c>
      <c r="G4" s="55">
        <f>G7</f>
        <v>49700</v>
      </c>
      <c r="H4" s="55">
        <f>H7</f>
        <v>13419000</v>
      </c>
      <c r="J4" s="74" t="s">
        <v>30</v>
      </c>
      <c r="K4" s="74" t="s">
        <v>37</v>
      </c>
      <c r="M4" s="70">
        <f>SUMIF(C5:C19,"Material",K5:K19)</f>
        <v>12987000</v>
      </c>
      <c r="N4" s="70">
        <f>SUMIF(C5:C19,"Mano de Obra",K5:K19)</f>
        <v>0</v>
      </c>
      <c r="O4" s="70">
        <f>SUMIF(C5:C19,"Subcontrato",K5:K19)</f>
        <v>0</v>
      </c>
      <c r="P4" s="70">
        <f>SUMIF(C5:C19,"Ser&amp;Arr",K5:K19)</f>
        <v>432000</v>
      </c>
      <c r="Q4" s="71">
        <f>SUM(M4:P4)</f>
        <v>13419000</v>
      </c>
    </row>
    <row r="5" spans="1:17" ht="16">
      <c r="B5" s="56"/>
      <c r="C5" s="56" t="s">
        <v>38</v>
      </c>
      <c r="D5" s="57" t="s">
        <v>67</v>
      </c>
      <c r="E5" s="58" t="s">
        <v>365</v>
      </c>
      <c r="F5" s="59">
        <v>1.3</v>
      </c>
      <c r="G5" s="60">
        <f>Bolones</f>
        <v>37000</v>
      </c>
      <c r="H5" s="61">
        <f t="shared" ref="H5:H6" si="0">ROUND(F5*G5,3)</f>
        <v>48100</v>
      </c>
      <c r="J5" s="75">
        <f>F5*$F$4</f>
        <v>351</v>
      </c>
      <c r="K5" s="67">
        <f>H5*$F$4</f>
        <v>12987000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" si="1">F6*$F$4</f>
        <v>13.5</v>
      </c>
      <c r="K6" s="67">
        <f t="shared" ref="K6" si="2">H6*$F$4</f>
        <v>432000</v>
      </c>
    </row>
    <row r="7" spans="1:17" ht="16">
      <c r="B7" s="62"/>
      <c r="C7" s="62"/>
      <c r="D7" s="63"/>
      <c r="E7" s="64" t="s">
        <v>364</v>
      </c>
      <c r="F7" s="120">
        <f>$F$4</f>
        <v>270</v>
      </c>
      <c r="G7" s="65">
        <f>SUM(H5:H6)</f>
        <v>49700</v>
      </c>
      <c r="H7" s="65">
        <f t="shared" ref="H7" si="3">ROUND(F7*G7,3)</f>
        <v>13419000</v>
      </c>
      <c r="K7" s="76">
        <f>SUM(K5:K6)</f>
        <v>13419000</v>
      </c>
    </row>
    <row r="9" spans="1:17">
      <c r="C9" s="66"/>
    </row>
  </sheetData>
  <dataValidations count="1">
    <dataValidation type="list" allowBlank="1" showErrorMessage="1" sqref="C7 C4" xr:uid="{9B1F3EE3-8E6D-4FF6-8371-CFE83B85CF65}">
      <formula1>"Capítulo,Partida,Mano de obra,Maquinaria,Material,Otros,Tarea"</formula1>
    </dataValidation>
  </dataValidations>
  <hyperlinks>
    <hyperlink ref="B1" location="'01.- Presupuesto'!A1" display="02.- Presupuesto'!A1" xr:uid="{76DFB64F-FA05-894C-BD25-39A220F866B1}"/>
  </hyperlinks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31A8-8C45-4E25-9EBF-F9C9002DD391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79</v>
      </c>
      <c r="C4" s="53" t="s">
        <v>36</v>
      </c>
      <c r="D4" s="148" t="str">
        <f>'01.- Presupuesto'!F27</f>
        <v>m2</v>
      </c>
      <c r="E4" s="149" t="str">
        <f>'01.- Presupuesto'!C27</f>
        <v>Suministro e Instalación de Geotextil bajo la Sub-Base</v>
      </c>
      <c r="F4" s="73">
        <f>'01.- Presupuesto'!G27</f>
        <v>900</v>
      </c>
      <c r="G4" s="55">
        <f>G9</f>
        <v>1623.5329999999999</v>
      </c>
      <c r="H4" s="55">
        <f>H9</f>
        <v>1461179.7</v>
      </c>
      <c r="J4" s="74" t="s">
        <v>30</v>
      </c>
      <c r="K4" s="74" t="s">
        <v>37</v>
      </c>
      <c r="M4" s="70">
        <f>SUMIF(C5:C21,"Material",K5:K21)</f>
        <v>1188000</v>
      </c>
      <c r="N4" s="70">
        <f>SUMIF(C5:C21,"Mano de Obra",K5:K21)</f>
        <v>227649.6</v>
      </c>
      <c r="O4" s="70">
        <f>SUMIF(C5:C21,"Subcontrato",K5:K21)</f>
        <v>0</v>
      </c>
      <c r="P4" s="70">
        <f>SUMIF(C5:C21,"Ser&amp;Arr",K5:K21)</f>
        <v>45530.1</v>
      </c>
      <c r="Q4" s="71">
        <f>SUM(M4:P4)</f>
        <v>1461179.7000000002</v>
      </c>
    </row>
    <row r="5" spans="1:17" ht="16">
      <c r="B5" s="56"/>
      <c r="C5" s="56" t="s">
        <v>38</v>
      </c>
      <c r="D5" s="57" t="s">
        <v>39</v>
      </c>
      <c r="E5" s="58" t="s">
        <v>367</v>
      </c>
      <c r="F5" s="59">
        <f>1/(2*50)*1.1</f>
        <v>1.1000000000000001E-2</v>
      </c>
      <c r="G5" s="60">
        <v>120000</v>
      </c>
      <c r="H5" s="61">
        <f t="shared" ref="H5:H9" si="0">ROUND(F5*G5,3)</f>
        <v>1320</v>
      </c>
      <c r="J5" s="75">
        <f>F5*$F$4</f>
        <v>9.9</v>
      </c>
      <c r="K5" s="67">
        <f>H5*$F$4</f>
        <v>1188000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1/50</f>
        <v>0.02</v>
      </c>
      <c r="G6" s="60">
        <f>Maestro</f>
        <v>7250</v>
      </c>
      <c r="H6" s="61">
        <f t="shared" si="0"/>
        <v>145</v>
      </c>
      <c r="J6" s="75">
        <f t="shared" ref="J6:J7" si="1">F6*$F$4</f>
        <v>18</v>
      </c>
      <c r="K6" s="67">
        <f t="shared" ref="K6:K7" si="2">H6*$F$4</f>
        <v>130500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1/50</f>
        <v>0.02</v>
      </c>
      <c r="G7" s="60">
        <f>Jornal</f>
        <v>5397.2222222222226</v>
      </c>
      <c r="H7" s="61">
        <f t="shared" si="0"/>
        <v>107.944</v>
      </c>
      <c r="J7" s="75">
        <f t="shared" si="1"/>
        <v>18</v>
      </c>
      <c r="K7" s="67">
        <f t="shared" si="2"/>
        <v>97149.6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252.94400000000002</v>
      </c>
      <c r="H8" s="61">
        <f>ROUND(F8*G8,3)</f>
        <v>50.588999999999999</v>
      </c>
      <c r="J8" s="75">
        <f>F8*$F$4</f>
        <v>180</v>
      </c>
      <c r="K8" s="67">
        <f>H8*$F$4</f>
        <v>45530.1</v>
      </c>
    </row>
    <row r="9" spans="1:17" ht="16">
      <c r="B9" s="62"/>
      <c r="C9" s="62"/>
      <c r="D9" s="63"/>
      <c r="E9" s="64" t="s">
        <v>366</v>
      </c>
      <c r="F9" s="120">
        <f>$F$4</f>
        <v>900</v>
      </c>
      <c r="G9" s="65">
        <f>SUM(H5:H8)</f>
        <v>1623.5329999999999</v>
      </c>
      <c r="H9" s="65">
        <f t="shared" si="0"/>
        <v>1461179.7</v>
      </c>
      <c r="K9" s="76">
        <f>SUM(K5:K8)</f>
        <v>1461179.7000000002</v>
      </c>
    </row>
    <row r="11" spans="1:17">
      <c r="C11" s="66"/>
    </row>
  </sheetData>
  <dataValidations count="1">
    <dataValidation type="list" allowBlank="1" showErrorMessage="1" sqref="C9 C4" xr:uid="{225A9C1A-B84A-4BC1-BEFB-8AA19D622BDE}">
      <formula1>"Capítulo,Partida,Mano de obra,Maquinaria,Material,Otros,Tarea"</formula1>
    </dataValidation>
  </dataValidations>
  <hyperlinks>
    <hyperlink ref="B1" location="'01.- Presupuesto'!A1" display="02.- Presupuesto'!A1" xr:uid="{64A5C04B-D0A5-C94F-B7DA-93B7E38F1B07}"/>
  </hyperlinks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980A-84F0-4B0F-80AB-D5025F96AF67}">
  <sheetPr>
    <tabColor theme="9" tint="0.59999389629810485"/>
  </sheetPr>
  <dimension ref="A1:Q50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59</v>
      </c>
      <c r="C4" s="53" t="s">
        <v>36</v>
      </c>
      <c r="D4" s="148" t="str">
        <f>'01.- Presupuesto'!F29</f>
        <v>m</v>
      </c>
      <c r="E4" s="149" t="str">
        <f>'01.- Presupuesto'!C29</f>
        <v>Suministro de materiales y construcción de zanja de infiltración, incluye cubo dren</v>
      </c>
      <c r="F4" s="73">
        <f>'01.- Presupuesto'!G29</f>
        <v>6.3</v>
      </c>
      <c r="G4" s="55">
        <f>G50</f>
        <v>315982.16600000003</v>
      </c>
      <c r="H4" s="55">
        <f>H50</f>
        <v>1990687.6459999999</v>
      </c>
      <c r="J4" s="74" t="s">
        <v>30</v>
      </c>
      <c r="K4" s="74" t="s">
        <v>37</v>
      </c>
      <c r="M4" s="70">
        <f>SUMIF(C5:C48,"Material",K5:K55)</f>
        <v>680431.52305882331</v>
      </c>
      <c r="N4" s="70">
        <f>SUMIF(C5:C48,"Mano de Obra",K5:K55)</f>
        <v>241535.92918888887</v>
      </c>
      <c r="O4" s="70">
        <f>SUMIF(C5:C48,"Subcontrato",K5:K55)</f>
        <v>767550</v>
      </c>
      <c r="P4" s="70">
        <f>SUMIF(C5:C48,"Ser&amp;Arr",K5:K55)</f>
        <v>301170.19647790393</v>
      </c>
      <c r="Q4" s="71">
        <f>SUM(M4:P4)</f>
        <v>1990687.6487256163</v>
      </c>
    </row>
    <row r="5" spans="1:17">
      <c r="B5" s="52" t="s">
        <v>195</v>
      </c>
      <c r="C5" s="53" t="s">
        <v>36</v>
      </c>
      <c r="D5" s="148" t="str">
        <f>'13.1'!$D$4</f>
        <v>m3</v>
      </c>
      <c r="E5" s="149" t="str">
        <f>'13.1'!$E$4</f>
        <v>Suministro y colocación arena limpia compactada</v>
      </c>
      <c r="F5" s="73">
        <f>((1.16*(0.3+0.425*2)*F4)-(F21*F4*0.425*0.38*0.79))/F4</f>
        <v>0.68594920634920642</v>
      </c>
      <c r="G5" s="73">
        <f>'13.1'!$G$4</f>
        <v>34686.582999999999</v>
      </c>
      <c r="H5" s="73">
        <f>H12</f>
        <v>23793.234</v>
      </c>
      <c r="J5" s="75"/>
      <c r="K5" s="67"/>
    </row>
    <row r="6" spans="1:17" ht="16">
      <c r="B6" s="56"/>
      <c r="C6" s="56" t="s">
        <v>38</v>
      </c>
      <c r="D6" s="57" t="s">
        <v>67</v>
      </c>
      <c r="E6" s="58" t="s">
        <v>453</v>
      </c>
      <c r="F6" s="59">
        <v>1.3</v>
      </c>
      <c r="G6" s="60">
        <f>Arena</f>
        <v>24000</v>
      </c>
      <c r="H6" s="61">
        <f t="shared" ref="H6:H12" si="0">ROUND(F6*G6,3)</f>
        <v>31200</v>
      </c>
      <c r="J6" s="75">
        <f>F6*$F$5*$F$4</f>
        <v>5.6179240000000004</v>
      </c>
      <c r="K6" s="67">
        <f>J6*G6</f>
        <v>134830.17600000001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1/20</f>
        <v>0.05</v>
      </c>
      <c r="G7" s="60">
        <f>Maestro</f>
        <v>7250</v>
      </c>
      <c r="H7" s="61">
        <f t="shared" si="0"/>
        <v>362.5</v>
      </c>
      <c r="J7" s="75">
        <f t="shared" ref="J7:J11" si="1">F7*$F$5*$F$4</f>
        <v>0.21607400000000004</v>
      </c>
      <c r="K7" s="67">
        <f t="shared" ref="K7:K44" si="2">J7*G7</f>
        <v>1566.5365000000004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4*1/20</f>
        <v>0.2</v>
      </c>
      <c r="G8" s="60">
        <f>Jornal</f>
        <v>5397.2222222222226</v>
      </c>
      <c r="H8" s="61">
        <f t="shared" si="0"/>
        <v>1079.444</v>
      </c>
      <c r="J8" s="75">
        <f t="shared" si="1"/>
        <v>0.86429600000000018</v>
      </c>
      <c r="K8" s="67">
        <f t="shared" si="2"/>
        <v>4664.7975777777792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1441.944</v>
      </c>
      <c r="H9" s="61">
        <f>ROUND(F9*G9,3)</f>
        <v>288.38900000000001</v>
      </c>
      <c r="J9" s="75">
        <f t="shared" si="1"/>
        <v>0.86429600000000018</v>
      </c>
      <c r="K9" s="67">
        <f t="shared" si="2"/>
        <v>1246.2664314240003</v>
      </c>
    </row>
    <row r="10" spans="1:17" ht="16">
      <c r="B10" s="56"/>
      <c r="C10" s="56" t="s">
        <v>54</v>
      </c>
      <c r="D10" s="57" t="s">
        <v>348</v>
      </c>
      <c r="E10" s="58" t="s">
        <v>350</v>
      </c>
      <c r="F10" s="59">
        <f>1/20</f>
        <v>0.05</v>
      </c>
      <c r="G10" s="60">
        <f>Retroexcavadora</f>
        <v>32000</v>
      </c>
      <c r="H10" s="61">
        <f t="shared" si="0"/>
        <v>1600</v>
      </c>
      <c r="J10" s="75">
        <f t="shared" si="1"/>
        <v>0.21607400000000004</v>
      </c>
      <c r="K10" s="67">
        <f t="shared" si="2"/>
        <v>6914.3680000000013</v>
      </c>
    </row>
    <row r="11" spans="1:17" ht="16">
      <c r="B11" s="56"/>
      <c r="C11" s="56" t="s">
        <v>54</v>
      </c>
      <c r="D11" s="57" t="s">
        <v>71</v>
      </c>
      <c r="E11" s="58" t="s">
        <v>385</v>
      </c>
      <c r="F11" s="59">
        <f>1/20/8</f>
        <v>6.2500000000000003E-3</v>
      </c>
      <c r="G11" s="60">
        <v>25000</v>
      </c>
      <c r="H11" s="61">
        <f t="shared" si="0"/>
        <v>156.25</v>
      </c>
      <c r="J11" s="75">
        <f t="shared" si="1"/>
        <v>2.7009250000000005E-2</v>
      </c>
      <c r="K11" s="67">
        <f t="shared" si="2"/>
        <v>675.23125000000016</v>
      </c>
    </row>
    <row r="12" spans="1:17" ht="16">
      <c r="B12" s="62"/>
      <c r="C12" s="62"/>
      <c r="D12" s="63"/>
      <c r="E12" s="64" t="s">
        <v>454</v>
      </c>
      <c r="F12" s="120">
        <f>F5</f>
        <v>0.68594920634920642</v>
      </c>
      <c r="G12" s="65">
        <f>SUM(H6:H11)</f>
        <v>34686.582999999999</v>
      </c>
      <c r="H12" s="65">
        <f t="shared" si="0"/>
        <v>23793.234</v>
      </c>
      <c r="J12" s="75"/>
      <c r="K12" s="67"/>
    </row>
    <row r="13" spans="1:17">
      <c r="B13" s="52" t="s">
        <v>196</v>
      </c>
      <c r="C13" s="53" t="s">
        <v>36</v>
      </c>
      <c r="D13" s="148" t="str">
        <f>'13.2'!$D$4</f>
        <v>m3</v>
      </c>
      <c r="E13" s="149" t="str">
        <f>'13.2'!$E$4</f>
        <v>Suministro y colocación gravilla (bajo tamiz 1")</v>
      </c>
      <c r="F13" s="73">
        <f>1.16*0.2</f>
        <v>0.23199999999999998</v>
      </c>
      <c r="G13" s="73">
        <f>'13.2'!$G$4</f>
        <v>37286.583000000006</v>
      </c>
      <c r="H13" s="73">
        <f>H20</f>
        <v>8650.4869999999992</v>
      </c>
      <c r="J13" s="75"/>
      <c r="K13" s="67"/>
    </row>
    <row r="14" spans="1:17" ht="16">
      <c r="B14" s="56"/>
      <c r="C14" s="56" t="s">
        <v>38</v>
      </c>
      <c r="D14" s="57" t="s">
        <v>67</v>
      </c>
      <c r="E14" s="58" t="s">
        <v>455</v>
      </c>
      <c r="F14" s="59">
        <v>1.3</v>
      </c>
      <c r="G14" s="60">
        <f>Gravilla</f>
        <v>26000</v>
      </c>
      <c r="H14" s="61">
        <f t="shared" ref="H14:H20" si="3">ROUND(F14*G14,3)</f>
        <v>33800</v>
      </c>
      <c r="J14" s="75">
        <f>F14*$F$13*$F$4</f>
        <v>1.9000799999999998</v>
      </c>
      <c r="K14" s="67">
        <f t="shared" si="2"/>
        <v>49402.079999999994</v>
      </c>
    </row>
    <row r="15" spans="1:17" ht="16">
      <c r="B15" s="56"/>
      <c r="C15" s="56" t="s">
        <v>40</v>
      </c>
      <c r="D15" s="57" t="s">
        <v>41</v>
      </c>
      <c r="E15" s="58" t="s">
        <v>90</v>
      </c>
      <c r="F15" s="59">
        <f>1/20</f>
        <v>0.05</v>
      </c>
      <c r="G15" s="60">
        <f>Maestro</f>
        <v>7250</v>
      </c>
      <c r="H15" s="61">
        <f t="shared" si="3"/>
        <v>362.5</v>
      </c>
      <c r="J15" s="75">
        <f t="shared" ref="J15:J19" si="4">F15*$F$13*$F$4</f>
        <v>7.3079999999999992E-2</v>
      </c>
      <c r="K15" s="67">
        <f t="shared" si="2"/>
        <v>529.82999999999993</v>
      </c>
    </row>
    <row r="16" spans="1:17" ht="16">
      <c r="B16" s="56"/>
      <c r="C16" s="56" t="s">
        <v>40</v>
      </c>
      <c r="D16" s="57" t="s">
        <v>41</v>
      </c>
      <c r="E16" s="58" t="s">
        <v>68</v>
      </c>
      <c r="F16" s="59">
        <f>4*1/20</f>
        <v>0.2</v>
      </c>
      <c r="G16" s="60">
        <f>Jornal</f>
        <v>5397.2222222222226</v>
      </c>
      <c r="H16" s="61">
        <f t="shared" si="3"/>
        <v>1079.444</v>
      </c>
      <c r="J16" s="75">
        <f t="shared" si="4"/>
        <v>0.29231999999999997</v>
      </c>
      <c r="K16" s="67">
        <f t="shared" si="2"/>
        <v>1577.7159999999999</v>
      </c>
    </row>
    <row r="17" spans="2:11" ht="16">
      <c r="B17" s="56"/>
      <c r="C17" s="56" t="s">
        <v>54</v>
      </c>
      <c r="D17" s="57" t="s">
        <v>42</v>
      </c>
      <c r="E17" s="58" t="s">
        <v>55</v>
      </c>
      <c r="F17" s="59">
        <v>0.2</v>
      </c>
      <c r="G17" s="60">
        <f>SUM(H15:H16)</f>
        <v>1441.944</v>
      </c>
      <c r="H17" s="61">
        <f>ROUND(F17*G17,3)</f>
        <v>288.38900000000001</v>
      </c>
      <c r="J17" s="75">
        <f t="shared" si="4"/>
        <v>0.29231999999999997</v>
      </c>
      <c r="K17" s="67">
        <f t="shared" si="2"/>
        <v>421.50907007999996</v>
      </c>
    </row>
    <row r="18" spans="2:11" ht="16">
      <c r="B18" s="56"/>
      <c r="C18" s="56" t="s">
        <v>54</v>
      </c>
      <c r="D18" s="57" t="s">
        <v>348</v>
      </c>
      <c r="E18" s="58" t="s">
        <v>350</v>
      </c>
      <c r="F18" s="59">
        <f>1/20</f>
        <v>0.05</v>
      </c>
      <c r="G18" s="60">
        <f>Retroexcavadora</f>
        <v>32000</v>
      </c>
      <c r="H18" s="61">
        <f t="shared" si="3"/>
        <v>1600</v>
      </c>
      <c r="J18" s="75">
        <f t="shared" si="4"/>
        <v>7.3079999999999992E-2</v>
      </c>
      <c r="K18" s="67">
        <f t="shared" si="2"/>
        <v>2338.56</v>
      </c>
    </row>
    <row r="19" spans="2:11" ht="16">
      <c r="B19" s="56"/>
      <c r="C19" s="56" t="s">
        <v>54</v>
      </c>
      <c r="D19" s="57" t="s">
        <v>71</v>
      </c>
      <c r="E19" s="58" t="s">
        <v>385</v>
      </c>
      <c r="F19" s="59">
        <f>1/20/8</f>
        <v>6.2500000000000003E-3</v>
      </c>
      <c r="G19" s="60">
        <v>25000</v>
      </c>
      <c r="H19" s="61">
        <f t="shared" si="3"/>
        <v>156.25</v>
      </c>
      <c r="J19" s="75">
        <f t="shared" si="4"/>
        <v>9.134999999999999E-3</v>
      </c>
      <c r="K19" s="67">
        <f t="shared" si="2"/>
        <v>228.37499999999997</v>
      </c>
    </row>
    <row r="20" spans="2:11" ht="16">
      <c r="B20" s="62"/>
      <c r="C20" s="62"/>
      <c r="D20" s="63"/>
      <c r="E20" s="64" t="s">
        <v>456</v>
      </c>
      <c r="F20" s="120">
        <f>F13</f>
        <v>0.23199999999999998</v>
      </c>
      <c r="G20" s="65">
        <f>SUM(H14:H19)</f>
        <v>37286.583000000006</v>
      </c>
      <c r="H20" s="65">
        <f t="shared" si="3"/>
        <v>8650.4869999999992</v>
      </c>
      <c r="J20" s="75"/>
      <c r="K20" s="67"/>
    </row>
    <row r="21" spans="2:11">
      <c r="B21" s="52" t="s">
        <v>197</v>
      </c>
      <c r="C21" s="53" t="s">
        <v>36</v>
      </c>
      <c r="D21" s="148" t="str">
        <f>'13.3'!$D$4</f>
        <v>un</v>
      </c>
      <c r="E21" s="149" t="str">
        <f>'13.3'!$E$4</f>
        <v>Suministro e instalación Cubos dren 26 t/m2</v>
      </c>
      <c r="F21" s="73">
        <f>(4*ROUNDUP((F4/0.79),0))/F4</f>
        <v>5.0793650793650791</v>
      </c>
      <c r="G21" s="73">
        <f>'13.3'!$G$4</f>
        <v>18599.722000000002</v>
      </c>
      <c r="H21" s="55">
        <f>H25</f>
        <v>94474.778000000006</v>
      </c>
      <c r="J21" s="75"/>
      <c r="K21" s="67"/>
    </row>
    <row r="22" spans="2:11" ht="16">
      <c r="B22" s="56"/>
      <c r="C22" s="56" t="s">
        <v>38</v>
      </c>
      <c r="D22" s="57" t="s">
        <v>39</v>
      </c>
      <c r="E22" s="58" t="s">
        <v>564</v>
      </c>
      <c r="F22" s="59">
        <v>1</v>
      </c>
      <c r="G22" s="60">
        <f>CuboDren</f>
        <v>11390</v>
      </c>
      <c r="H22" s="61">
        <f t="shared" ref="H22:H25" si="5">ROUND(F22*G22,3)</f>
        <v>11390</v>
      </c>
      <c r="J22" s="75">
        <f>F22*$F$21*$F$4</f>
        <v>31.999999999999996</v>
      </c>
      <c r="K22" s="67">
        <f t="shared" si="2"/>
        <v>364479.99999999994</v>
      </c>
    </row>
    <row r="23" spans="2:11" ht="16">
      <c r="B23" s="56"/>
      <c r="C23" s="56" t="s">
        <v>40</v>
      </c>
      <c r="D23" s="57" t="s">
        <v>41</v>
      </c>
      <c r="E23" s="58" t="s">
        <v>90</v>
      </c>
      <c r="F23" s="59">
        <f>1/4</f>
        <v>0.25</v>
      </c>
      <c r="G23" s="60">
        <f>Maestro</f>
        <v>7250</v>
      </c>
      <c r="H23" s="61">
        <f t="shared" si="5"/>
        <v>1812.5</v>
      </c>
      <c r="J23" s="75">
        <f t="shared" ref="J23:J24" si="6">F23*$F$21*$F$4</f>
        <v>7.9999999999999991</v>
      </c>
      <c r="K23" s="67">
        <f t="shared" si="2"/>
        <v>57999.999999999993</v>
      </c>
    </row>
    <row r="24" spans="2:11" ht="16">
      <c r="B24" s="56"/>
      <c r="C24" s="56" t="s">
        <v>40</v>
      </c>
      <c r="D24" s="57" t="s">
        <v>41</v>
      </c>
      <c r="E24" s="58" t="s">
        <v>68</v>
      </c>
      <c r="F24" s="59">
        <v>1</v>
      </c>
      <c r="G24" s="60">
        <f>Jornal</f>
        <v>5397.2222222222226</v>
      </c>
      <c r="H24" s="61">
        <f t="shared" si="5"/>
        <v>5397.2219999999998</v>
      </c>
      <c r="J24" s="75">
        <f t="shared" si="6"/>
        <v>31.999999999999996</v>
      </c>
      <c r="K24" s="67">
        <f t="shared" si="2"/>
        <v>172711.11111111109</v>
      </c>
    </row>
    <row r="25" spans="2:11" ht="16">
      <c r="B25" s="62"/>
      <c r="C25" s="62"/>
      <c r="D25" s="63"/>
      <c r="E25" s="64" t="s">
        <v>568</v>
      </c>
      <c r="F25" s="120">
        <f>F21</f>
        <v>5.0793650793650791</v>
      </c>
      <c r="G25" s="65">
        <f>SUM(H22:H24)</f>
        <v>18599.722000000002</v>
      </c>
      <c r="H25" s="65">
        <f t="shared" si="5"/>
        <v>94474.778000000006</v>
      </c>
      <c r="J25" s="75"/>
      <c r="K25" s="67"/>
    </row>
    <row r="26" spans="2:11">
      <c r="B26" s="52" t="s">
        <v>198</v>
      </c>
      <c r="C26" s="53" t="s">
        <v>36</v>
      </c>
      <c r="D26" s="148" t="str">
        <f>'13.4'!$D$4</f>
        <v>m3</v>
      </c>
      <c r="E26" s="149" t="str">
        <f>'13.4'!$E$4</f>
        <v>Excavación máquinaria local, traslado a botadero hasta 20km (geométrica, sin esponajamiento)</v>
      </c>
      <c r="F26" s="73">
        <f>((1.16*(0.3+0.425*2+0.4)*F4))/F4</f>
        <v>1.7979999999999996</v>
      </c>
      <c r="G26" s="73">
        <f>'13.4'!$G$4</f>
        <v>25500</v>
      </c>
      <c r="H26" s="55">
        <f>H31</f>
        <v>45849</v>
      </c>
      <c r="J26" s="75"/>
      <c r="K26" s="67"/>
    </row>
    <row r="27" spans="2:11" ht="16">
      <c r="B27" s="56"/>
      <c r="C27" s="56" t="s">
        <v>54</v>
      </c>
      <c r="D27" s="57" t="s">
        <v>348</v>
      </c>
      <c r="E27" s="58" t="s">
        <v>353</v>
      </c>
      <c r="F27" s="59">
        <f>1/20</f>
        <v>0.05</v>
      </c>
      <c r="G27" s="60">
        <f>Excavadora</f>
        <v>50000</v>
      </c>
      <c r="H27" s="61">
        <f t="shared" ref="H27:H31" si="7">ROUND(F27*G27,3)</f>
        <v>2500</v>
      </c>
      <c r="J27" s="75">
        <f>F27*$F$26*$F$4</f>
        <v>0.56636999999999982</v>
      </c>
      <c r="K27" s="67">
        <f t="shared" si="2"/>
        <v>28318.499999999989</v>
      </c>
    </row>
    <row r="28" spans="2:11" ht="16">
      <c r="B28" s="56"/>
      <c r="C28" s="56" t="s">
        <v>54</v>
      </c>
      <c r="D28" s="57" t="s">
        <v>348</v>
      </c>
      <c r="E28" s="58" t="s">
        <v>350</v>
      </c>
      <c r="F28" s="59">
        <f>1/20</f>
        <v>0.05</v>
      </c>
      <c r="G28" s="60">
        <f>Retroexcavadora</f>
        <v>32000</v>
      </c>
      <c r="H28" s="61">
        <f t="shared" si="7"/>
        <v>1600</v>
      </c>
      <c r="J28" s="75">
        <f t="shared" ref="J28:J30" si="8">F28*$F$26*$F$4</f>
        <v>0.56636999999999982</v>
      </c>
      <c r="K28" s="67">
        <f t="shared" si="2"/>
        <v>18123.839999999993</v>
      </c>
    </row>
    <row r="29" spans="2:11" ht="16">
      <c r="B29" s="56"/>
      <c r="C29" s="56" t="s">
        <v>54</v>
      </c>
      <c r="D29" s="57" t="s">
        <v>348</v>
      </c>
      <c r="E29" s="58" t="s">
        <v>349</v>
      </c>
      <c r="F29" s="59">
        <f>1/20</f>
        <v>0.05</v>
      </c>
      <c r="G29" s="60">
        <f>Tolva</f>
        <v>38000</v>
      </c>
      <c r="H29" s="61">
        <f t="shared" si="7"/>
        <v>1900</v>
      </c>
      <c r="J29" s="75">
        <f t="shared" si="8"/>
        <v>0.56636999999999982</v>
      </c>
      <c r="K29" s="67">
        <f t="shared" si="2"/>
        <v>21522.059999999994</v>
      </c>
    </row>
    <row r="30" spans="2:11" ht="16">
      <c r="B30" s="56"/>
      <c r="C30" s="56" t="s">
        <v>54</v>
      </c>
      <c r="D30" s="57" t="s">
        <v>67</v>
      </c>
      <c r="E30" s="58" t="s">
        <v>70</v>
      </c>
      <c r="F30" s="59">
        <v>1.3</v>
      </c>
      <c r="G30" s="60">
        <v>15000</v>
      </c>
      <c r="H30" s="61">
        <f t="shared" si="7"/>
        <v>19500</v>
      </c>
      <c r="J30" s="75">
        <f t="shared" si="8"/>
        <v>14.725619999999997</v>
      </c>
      <c r="K30" s="67">
        <f t="shared" si="2"/>
        <v>220884.29999999996</v>
      </c>
    </row>
    <row r="31" spans="2:11" ht="16">
      <c r="B31" s="62"/>
      <c r="C31" s="62"/>
      <c r="D31" s="63"/>
      <c r="E31" s="64" t="s">
        <v>422</v>
      </c>
      <c r="F31" s="120">
        <f>F26</f>
        <v>1.7979999999999996</v>
      </c>
      <c r="G31" s="65">
        <f>SUM(H27:H30)</f>
        <v>25500</v>
      </c>
      <c r="H31" s="65">
        <f t="shared" si="7"/>
        <v>45849</v>
      </c>
      <c r="J31" s="75"/>
      <c r="K31" s="67"/>
    </row>
    <row r="32" spans="2:11">
      <c r="B32" s="52" t="s">
        <v>199</v>
      </c>
      <c r="C32" s="53" t="s">
        <v>36</v>
      </c>
      <c r="D32" s="148" t="str">
        <f>'13.5'!$D$4</f>
        <v>m</v>
      </c>
      <c r="E32" s="149" t="str">
        <f>'13.5'!$E$4</f>
        <v>Suministro e instalación PVC 110mm</v>
      </c>
      <c r="F32" s="73">
        <v>6</v>
      </c>
      <c r="G32" s="73">
        <f>'13.5'!$G$4</f>
        <v>19571.289000000001</v>
      </c>
      <c r="H32" s="55">
        <f>H35</f>
        <v>117427.734</v>
      </c>
      <c r="J32" s="75"/>
      <c r="K32" s="67"/>
    </row>
    <row r="33" spans="2:11" ht="16">
      <c r="B33" s="56"/>
      <c r="C33" s="56" t="s">
        <v>38</v>
      </c>
      <c r="D33" s="57" t="s">
        <v>39</v>
      </c>
      <c r="E33" s="58" t="s">
        <v>536</v>
      </c>
      <c r="F33" s="59">
        <f>1.1*1/6</f>
        <v>0.18333333333333335</v>
      </c>
      <c r="G33" s="60">
        <f>16690/1.19</f>
        <v>14025.210084033613</v>
      </c>
      <c r="H33" s="61">
        <f t="shared" ref="H33:H35" si="9">ROUND(F33*G33,3)</f>
        <v>2571.2890000000002</v>
      </c>
      <c r="J33" s="75">
        <f>F33*F32*$F$4</f>
        <v>6.9300000000000006</v>
      </c>
      <c r="K33" s="67">
        <f t="shared" si="2"/>
        <v>97194.705882352951</v>
      </c>
    </row>
    <row r="34" spans="2:11" ht="16">
      <c r="B34" s="56"/>
      <c r="C34" s="56" t="s">
        <v>94</v>
      </c>
      <c r="D34" s="57" t="s">
        <v>65</v>
      </c>
      <c r="E34" s="58" t="s">
        <v>538</v>
      </c>
      <c r="F34" s="59">
        <v>1</v>
      </c>
      <c r="G34" s="60">
        <f>SCSan</f>
        <v>17000</v>
      </c>
      <c r="H34" s="61">
        <f t="shared" si="9"/>
        <v>17000</v>
      </c>
      <c r="J34" s="75">
        <f>F34*F32*$F$4</f>
        <v>37.799999999999997</v>
      </c>
      <c r="K34" s="67">
        <f t="shared" si="2"/>
        <v>642600</v>
      </c>
    </row>
    <row r="35" spans="2:11" ht="16">
      <c r="B35" s="62"/>
      <c r="C35" s="62"/>
      <c r="D35" s="63"/>
      <c r="E35" s="64" t="s">
        <v>539</v>
      </c>
      <c r="F35" s="120">
        <f>F32</f>
        <v>6</v>
      </c>
      <c r="G35" s="65">
        <f>SUM(H33:H34)</f>
        <v>19571.289000000001</v>
      </c>
      <c r="H35" s="65">
        <f t="shared" si="9"/>
        <v>117427.734</v>
      </c>
      <c r="J35" s="75"/>
      <c r="K35" s="67"/>
    </row>
    <row r="36" spans="2:11">
      <c r="B36" s="52" t="s">
        <v>200</v>
      </c>
      <c r="C36" s="53" t="s">
        <v>36</v>
      </c>
      <c r="D36" s="148" t="str">
        <f>'13.6'!$D$4</f>
        <v>un</v>
      </c>
      <c r="E36" s="149" t="str">
        <f>'13.6'!$E$4</f>
        <v>Suministro e instalación códo de PVC 110mm</v>
      </c>
      <c r="F36" s="73">
        <v>1</v>
      </c>
      <c r="G36" s="73">
        <f>'13.6'!$G$4</f>
        <v>2698.5059999999999</v>
      </c>
      <c r="H36" s="55">
        <f>H39</f>
        <v>3170.7280000000001</v>
      </c>
      <c r="J36" s="75"/>
      <c r="K36" s="67"/>
    </row>
    <row r="37" spans="2:11" ht="16">
      <c r="B37" s="56"/>
      <c r="C37" s="56" t="s">
        <v>38</v>
      </c>
      <c r="D37" s="57" t="s">
        <v>39</v>
      </c>
      <c r="E37" s="58" t="s">
        <v>542</v>
      </c>
      <c r="F37" s="59">
        <f>1.1*1/6</f>
        <v>0.18333333333333335</v>
      </c>
      <c r="G37" s="60">
        <f>2190/1.19</f>
        <v>1840.3361344537816</v>
      </c>
      <c r="H37" s="61">
        <f t="shared" ref="H37:H39" si="10">ROUND(F37*G37,3)</f>
        <v>337.39499999999998</v>
      </c>
      <c r="J37" s="75">
        <f>F37*F36*$F$4</f>
        <v>1.155</v>
      </c>
      <c r="K37" s="67">
        <f t="shared" si="2"/>
        <v>2125.5882352941176</v>
      </c>
    </row>
    <row r="38" spans="2:11" ht="16">
      <c r="B38" s="56"/>
      <c r="C38" s="56" t="s">
        <v>94</v>
      </c>
      <c r="D38" s="57" t="s">
        <v>65</v>
      </c>
      <c r="E38" s="58" t="s">
        <v>538</v>
      </c>
      <c r="F38" s="59">
        <f>F36/F32</f>
        <v>0.16666666666666666</v>
      </c>
      <c r="G38" s="60">
        <f>SCSan</f>
        <v>17000</v>
      </c>
      <c r="H38" s="61">
        <f t="shared" si="10"/>
        <v>2833.3330000000001</v>
      </c>
      <c r="J38" s="75">
        <f>F38*F36*$F$4</f>
        <v>1.0499999999999998</v>
      </c>
      <c r="K38" s="67">
        <f t="shared" si="2"/>
        <v>17849.999999999996</v>
      </c>
    </row>
    <row r="39" spans="2:11" ht="16">
      <c r="B39" s="62"/>
      <c r="C39" s="62"/>
      <c r="D39" s="63"/>
      <c r="E39" s="64" t="s">
        <v>540</v>
      </c>
      <c r="F39" s="120">
        <f>F36</f>
        <v>1</v>
      </c>
      <c r="G39" s="65">
        <f>SUM(H37:H38)</f>
        <v>3170.7280000000001</v>
      </c>
      <c r="H39" s="65">
        <f t="shared" si="10"/>
        <v>3170.7280000000001</v>
      </c>
      <c r="J39" s="75"/>
      <c r="K39" s="67"/>
    </row>
    <row r="40" spans="2:11">
      <c r="B40" s="52" t="s">
        <v>201</v>
      </c>
      <c r="C40" s="53" t="s">
        <v>36</v>
      </c>
      <c r="D40" s="148" t="str">
        <f>'13.7'!$D$4</f>
        <v>m2</v>
      </c>
      <c r="E40" s="149" t="str">
        <f>'13.7'!$E$4</f>
        <v>Suministro e instalación de Geotextil</v>
      </c>
      <c r="F40" s="73">
        <f>1.16+0.4</f>
        <v>1.56</v>
      </c>
      <c r="G40" s="73">
        <f>'13.7'!$G$4</f>
        <v>1623.5329999999999</v>
      </c>
      <c r="H40" s="55">
        <f>H45</f>
        <v>2532.7109999999998</v>
      </c>
      <c r="J40" s="75"/>
      <c r="K40" s="67"/>
    </row>
    <row r="41" spans="2:11" ht="16">
      <c r="B41" s="56"/>
      <c r="C41" s="56" t="s">
        <v>38</v>
      </c>
      <c r="D41" s="57" t="s">
        <v>39</v>
      </c>
      <c r="E41" s="58" t="s">
        <v>367</v>
      </c>
      <c r="F41" s="59">
        <f>1/(2*50)*1.1</f>
        <v>1.1000000000000001E-2</v>
      </c>
      <c r="G41" s="60">
        <v>120000</v>
      </c>
      <c r="H41" s="61">
        <f t="shared" ref="H41:H43" si="11">ROUND(F41*G41,3)</f>
        <v>1320</v>
      </c>
      <c r="J41" s="75">
        <f>F41*$F$40*$F$4</f>
        <v>0.10810800000000001</v>
      </c>
      <c r="K41" s="67">
        <f t="shared" si="2"/>
        <v>12972.960000000001</v>
      </c>
    </row>
    <row r="42" spans="2:11" ht="16">
      <c r="B42" s="56"/>
      <c r="C42" s="56" t="s">
        <v>40</v>
      </c>
      <c r="D42" s="57" t="s">
        <v>41</v>
      </c>
      <c r="E42" s="58" t="s">
        <v>90</v>
      </c>
      <c r="F42" s="59">
        <f>1/50</f>
        <v>0.02</v>
      </c>
      <c r="G42" s="60">
        <f>Maestro</f>
        <v>7250</v>
      </c>
      <c r="H42" s="61">
        <f t="shared" si="11"/>
        <v>145</v>
      </c>
      <c r="J42" s="75">
        <f t="shared" ref="J42:J44" si="12">F42*$F$40*$F$4</f>
        <v>0.19656000000000001</v>
      </c>
      <c r="K42" s="67">
        <f t="shared" si="2"/>
        <v>1425.0600000000002</v>
      </c>
    </row>
    <row r="43" spans="2:11" ht="16">
      <c r="B43" s="56"/>
      <c r="C43" s="56" t="s">
        <v>40</v>
      </c>
      <c r="D43" s="57" t="s">
        <v>41</v>
      </c>
      <c r="E43" s="58" t="s">
        <v>68</v>
      </c>
      <c r="F43" s="59">
        <f>1/50</f>
        <v>0.02</v>
      </c>
      <c r="G43" s="60">
        <f>Jornal</f>
        <v>5397.2222222222226</v>
      </c>
      <c r="H43" s="61">
        <f t="shared" si="11"/>
        <v>107.944</v>
      </c>
      <c r="J43" s="75">
        <f t="shared" si="12"/>
        <v>0.19656000000000001</v>
      </c>
      <c r="K43" s="67">
        <f t="shared" si="2"/>
        <v>1060.8780000000002</v>
      </c>
    </row>
    <row r="44" spans="2:11" ht="16">
      <c r="B44" s="56"/>
      <c r="C44" s="56" t="s">
        <v>54</v>
      </c>
      <c r="D44" s="57" t="s">
        <v>42</v>
      </c>
      <c r="E44" s="58" t="s">
        <v>55</v>
      </c>
      <c r="F44" s="59">
        <v>0.2</v>
      </c>
      <c r="G44" s="60">
        <f>SUM(H42:H43)</f>
        <v>252.94400000000002</v>
      </c>
      <c r="H44" s="61">
        <f>ROUND(F44*G44,3)</f>
        <v>50.588999999999999</v>
      </c>
      <c r="J44" s="75">
        <f t="shared" si="12"/>
        <v>1.9656000000000002</v>
      </c>
      <c r="K44" s="67">
        <f t="shared" si="2"/>
        <v>497.18672640000011</v>
      </c>
    </row>
    <row r="45" spans="2:11" ht="16">
      <c r="B45" s="62"/>
      <c r="C45" s="62"/>
      <c r="D45" s="63"/>
      <c r="E45" s="64" t="s">
        <v>423</v>
      </c>
      <c r="F45" s="120">
        <f>F40</f>
        <v>1.56</v>
      </c>
      <c r="G45" s="65">
        <f>SUM(H41:H44)</f>
        <v>1623.5329999999999</v>
      </c>
      <c r="H45" s="65">
        <f t="shared" ref="H45" si="13">ROUND(F45*G45,3)</f>
        <v>2532.7109999999998</v>
      </c>
      <c r="J45" s="75"/>
      <c r="K45" s="67"/>
    </row>
    <row r="46" spans="2:11">
      <c r="B46" s="52" t="s">
        <v>202</v>
      </c>
      <c r="C46" s="53" t="s">
        <v>36</v>
      </c>
      <c r="D46" s="148" t="str">
        <f>'13.8'!$D$4</f>
        <v>m</v>
      </c>
      <c r="E46" s="149" t="str">
        <f>'13.8'!$E$4</f>
        <v>Suministro e instalación PVC110 mm ranurado</v>
      </c>
      <c r="F46" s="73">
        <v>1</v>
      </c>
      <c r="G46" s="73">
        <f>'13.8'!$G$4</f>
        <v>20083.493999999999</v>
      </c>
      <c r="H46" s="55">
        <f>H49</f>
        <v>20083.493999999999</v>
      </c>
      <c r="J46" s="75"/>
      <c r="K46" s="67"/>
    </row>
    <row r="47" spans="2:11" ht="16">
      <c r="B47" s="56"/>
      <c r="C47" s="56" t="s">
        <v>38</v>
      </c>
      <c r="D47" s="57" t="s">
        <v>39</v>
      </c>
      <c r="E47" s="58" t="s">
        <v>544</v>
      </c>
      <c r="F47" s="59">
        <f>1.1*1/50</f>
        <v>2.2000000000000002E-2</v>
      </c>
      <c r="G47" s="60">
        <f>166789/1.19</f>
        <v>140158.82352941178</v>
      </c>
      <c r="H47" s="61">
        <f t="shared" ref="H47:H49" si="14">ROUND(F47*G47,3)</f>
        <v>3083.4940000000001</v>
      </c>
      <c r="J47" s="75">
        <f>F47*$F$46*$F$4</f>
        <v>0.1386</v>
      </c>
      <c r="K47" s="67">
        <f t="shared" ref="K47:K48" si="15">J47*G47</f>
        <v>19426.012941176472</v>
      </c>
    </row>
    <row r="48" spans="2:11" ht="16">
      <c r="B48" s="56"/>
      <c r="C48" s="56" t="s">
        <v>94</v>
      </c>
      <c r="D48" s="57" t="s">
        <v>65</v>
      </c>
      <c r="E48" s="58" t="s">
        <v>538</v>
      </c>
      <c r="F48" s="59">
        <v>1</v>
      </c>
      <c r="G48" s="60">
        <f>SCSan</f>
        <v>17000</v>
      </c>
      <c r="H48" s="61">
        <f t="shared" si="14"/>
        <v>17000</v>
      </c>
      <c r="J48" s="75">
        <f>F48*$F$46*$F$4</f>
        <v>6.3</v>
      </c>
      <c r="K48" s="67">
        <f t="shared" si="15"/>
        <v>107100</v>
      </c>
    </row>
    <row r="49" spans="2:11" ht="16">
      <c r="B49" s="62"/>
      <c r="C49" s="62"/>
      <c r="D49" s="63"/>
      <c r="E49" s="64" t="s">
        <v>541</v>
      </c>
      <c r="F49" s="120">
        <f>F46</f>
        <v>1</v>
      </c>
      <c r="G49" s="65">
        <f>SUM(H47:H48)</f>
        <v>20083.493999999999</v>
      </c>
      <c r="H49" s="65">
        <f t="shared" si="14"/>
        <v>20083.493999999999</v>
      </c>
      <c r="J49" s="75"/>
      <c r="K49" s="67"/>
    </row>
    <row r="50" spans="2:11" ht="16">
      <c r="B50" s="62"/>
      <c r="C50" s="62"/>
      <c r="D50" s="63"/>
      <c r="E50" s="64" t="s">
        <v>565</v>
      </c>
      <c r="F50" s="120">
        <f>$F$4</f>
        <v>6.3</v>
      </c>
      <c r="G50" s="65">
        <f>H45+H39+H35+H31+H25+H20+H12+H49</f>
        <v>315982.16600000003</v>
      </c>
      <c r="H50" s="65">
        <f t="shared" ref="H50" si="16">ROUND(F50*G50,3)</f>
        <v>1990687.6459999999</v>
      </c>
      <c r="K50" s="76">
        <f>SUM(K5:K48)</f>
        <v>1990687.6487256165</v>
      </c>
    </row>
  </sheetData>
  <dataValidations disablePrompts="1" count="1">
    <dataValidation type="list" allowBlank="1" showErrorMessage="1" sqref="C4:C5 C12:C13 C20:C21 C25:C26 C31:C32 C35:C36 C39:C40 C45:C50" xr:uid="{9825B5D8-3277-44A2-A0DA-73D6DAB70B4D}">
      <formula1>"Capítulo,Partida,Mano de obra,Maquinaria,Material,Otros,Tarea"</formula1>
    </dataValidation>
  </dataValidations>
  <hyperlinks>
    <hyperlink ref="B1" location="'01.- Presupuesto'!A1" display="02.- Presupuesto'!A1" xr:uid="{103F1AEA-DD65-B24D-AE16-374C0D88BDAE}"/>
  </hyperlinks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97CC-6BB0-412F-AD0D-CBDF57AC3BF4}">
  <sheetPr>
    <tabColor theme="9" tint="0.59999389629810485"/>
  </sheetPr>
  <dimension ref="A1:Q21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60</v>
      </c>
      <c r="C4" s="53" t="s">
        <v>36</v>
      </c>
      <c r="D4" s="148" t="str">
        <f>'01.- Presupuesto'!F30</f>
        <v>un</v>
      </c>
      <c r="E4" s="149" t="str">
        <f>'01.- Presupuesto'!C30</f>
        <v>Suministro de materiales y construcción cámaras de filtración y decantación</v>
      </c>
      <c r="F4" s="73">
        <f>'01.- Presupuesto'!G30</f>
        <v>1</v>
      </c>
      <c r="G4" s="55">
        <f>G21</f>
        <v>650632.39400000009</v>
      </c>
      <c r="H4" s="55">
        <f>H21</f>
        <v>650632.39399999997</v>
      </c>
      <c r="J4" s="74" t="s">
        <v>30</v>
      </c>
      <c r="K4" s="74" t="s">
        <v>37</v>
      </c>
      <c r="M4" s="70">
        <f>SUMIF(C5:C22,"Material",K5:K22)</f>
        <v>424713.72700000007</v>
      </c>
      <c r="N4" s="70">
        <f>SUMIF(C5:C22,"Mano de Obra",K5:K22)</f>
        <v>144355.55599999998</v>
      </c>
      <c r="O4" s="70">
        <f>SUMIF(C5:C22,"Subcontrato",K5:K22)</f>
        <v>37692</v>
      </c>
      <c r="P4" s="70">
        <f>SUMIF(C5:C22,"Ser&amp;Arr",K5:K22)</f>
        <v>43871.111000000004</v>
      </c>
      <c r="Q4" s="71">
        <f>SUM(M4:P4)</f>
        <v>650632.39400000009</v>
      </c>
    </row>
    <row r="5" spans="1:17" ht="16">
      <c r="B5" s="56"/>
      <c r="C5" s="56" t="s">
        <v>38</v>
      </c>
      <c r="D5" s="57" t="s">
        <v>67</v>
      </c>
      <c r="E5" s="58" t="s">
        <v>382</v>
      </c>
      <c r="F5" s="59">
        <f>((4*1.15*1.15)+(1.3*1.3))*0.15</f>
        <v>1.0469999999999999</v>
      </c>
      <c r="G5" s="60">
        <f>HormG20</f>
        <v>108376.92</v>
      </c>
      <c r="H5" s="61">
        <f t="shared" ref="H5:H6" si="0">ROUND(F5*G5,3)</f>
        <v>113470.63499999999</v>
      </c>
      <c r="J5" s="75">
        <f>F5*$F$4</f>
        <v>1.0469999999999999</v>
      </c>
      <c r="K5" s="67">
        <f>H5*$F$4</f>
        <v>113470.63499999999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6-F5</f>
        <v>4.9530000000000003</v>
      </c>
      <c r="G6" s="60">
        <v>12000</v>
      </c>
      <c r="H6" s="61">
        <f t="shared" si="0"/>
        <v>59436</v>
      </c>
      <c r="J6" s="75">
        <f t="shared" ref="J6:J20" si="1">F6*$F$4</f>
        <v>4.9530000000000003</v>
      </c>
      <c r="K6" s="67">
        <f t="shared" ref="K6:K20" si="2">H6*$F$4</f>
        <v>59436</v>
      </c>
    </row>
    <row r="7" spans="1:17" ht="16">
      <c r="B7" s="56"/>
      <c r="C7" s="56" t="s">
        <v>38</v>
      </c>
      <c r="D7" s="57" t="s">
        <v>396</v>
      </c>
      <c r="E7" s="58" t="s">
        <v>395</v>
      </c>
      <c r="F7" s="59">
        <f>F5*60</f>
        <v>62.819999999999993</v>
      </c>
      <c r="G7" s="60">
        <v>900</v>
      </c>
      <c r="H7" s="61">
        <f>ROUND(F7*G7,3)</f>
        <v>56538</v>
      </c>
      <c r="J7" s="75">
        <f t="shared" si="1"/>
        <v>62.819999999999993</v>
      </c>
      <c r="K7" s="67">
        <f t="shared" si="2"/>
        <v>56538</v>
      </c>
    </row>
    <row r="8" spans="1:17" ht="16">
      <c r="B8" s="56"/>
      <c r="C8" s="56" t="s">
        <v>38</v>
      </c>
      <c r="D8" s="57" t="s">
        <v>396</v>
      </c>
      <c r="E8" s="58" t="s">
        <v>397</v>
      </c>
      <c r="F8" s="59">
        <f>1/30*F7</f>
        <v>2.0939999999999999</v>
      </c>
      <c r="G8" s="60">
        <v>1630</v>
      </c>
      <c r="H8" s="61">
        <f>ROUND(F8*G8,3)</f>
        <v>3413.22</v>
      </c>
      <c r="J8" s="75">
        <f t="shared" si="1"/>
        <v>2.0939999999999999</v>
      </c>
      <c r="K8" s="67">
        <f t="shared" si="2"/>
        <v>3413.22</v>
      </c>
    </row>
    <row r="9" spans="1:17" ht="16">
      <c r="B9" s="56"/>
      <c r="C9" s="56" t="s">
        <v>38</v>
      </c>
      <c r="D9" s="57" t="s">
        <v>76</v>
      </c>
      <c r="E9" s="58" t="s">
        <v>476</v>
      </c>
      <c r="F9" s="59">
        <v>1</v>
      </c>
      <c r="G9" s="60">
        <f>129998/1.19</f>
        <v>109242.01680672269</v>
      </c>
      <c r="H9" s="61">
        <f>ROUND(F9*G9,3)</f>
        <v>109242.01700000001</v>
      </c>
      <c r="J9" s="75">
        <f t="shared" si="1"/>
        <v>1</v>
      </c>
      <c r="K9" s="67">
        <f t="shared" si="2"/>
        <v>109242.01700000001</v>
      </c>
    </row>
    <row r="10" spans="1:17" ht="16">
      <c r="B10" s="56"/>
      <c r="C10" s="56" t="s">
        <v>38</v>
      </c>
      <c r="D10" s="57" t="s">
        <v>39</v>
      </c>
      <c r="E10" s="58" t="s">
        <v>390</v>
      </c>
      <c r="F10" s="59">
        <f>1/0.48*((4*1.15*1.15)+(1.3*1.3))</f>
        <v>14.541666666666666</v>
      </c>
      <c r="G10" s="60">
        <v>2400</v>
      </c>
      <c r="H10" s="61">
        <f t="shared" ref="H10:H13" si="3">ROUND(F10*G10,3)</f>
        <v>34900</v>
      </c>
      <c r="J10" s="75">
        <f t="shared" ref="J10:J13" si="4">F10*$F$4</f>
        <v>14.541666666666666</v>
      </c>
      <c r="K10" s="67">
        <f t="shared" ref="K10:K13" si="5">H10*$F$4</f>
        <v>34900</v>
      </c>
    </row>
    <row r="11" spans="1:17" ht="16">
      <c r="B11" s="56"/>
      <c r="C11" s="56" t="s">
        <v>38</v>
      </c>
      <c r="D11" s="57" t="s">
        <v>39</v>
      </c>
      <c r="E11" s="58" t="s">
        <v>391</v>
      </c>
      <c r="F11" s="59">
        <f>1.05*1/(1.22*2.44)*((4*1.15*1.15)+(1.3*1.3))</f>
        <v>2.462039774254233</v>
      </c>
      <c r="G11" s="60">
        <v>16966</v>
      </c>
      <c r="H11" s="61">
        <f t="shared" si="3"/>
        <v>41770.966999999997</v>
      </c>
      <c r="J11" s="75">
        <f t="shared" si="4"/>
        <v>2.462039774254233</v>
      </c>
      <c r="K11" s="67">
        <f t="shared" si="5"/>
        <v>41770.966999999997</v>
      </c>
    </row>
    <row r="12" spans="1:17" ht="16">
      <c r="B12" s="56"/>
      <c r="C12" s="56" t="s">
        <v>38</v>
      </c>
      <c r="D12" s="57" t="s">
        <v>75</v>
      </c>
      <c r="E12" s="58" t="s">
        <v>392</v>
      </c>
      <c r="F12" s="59">
        <f>1/4*((4*1.15*1.15)+(1.3*1.3))</f>
        <v>1.7449999999999999</v>
      </c>
      <c r="G12" s="60">
        <v>1184</v>
      </c>
      <c r="H12" s="61">
        <f t="shared" si="3"/>
        <v>2066.08</v>
      </c>
      <c r="J12" s="75">
        <f t="shared" si="4"/>
        <v>1.7449999999999999</v>
      </c>
      <c r="K12" s="67">
        <f t="shared" si="5"/>
        <v>2066.08</v>
      </c>
    </row>
    <row r="13" spans="1:17" ht="16">
      <c r="B13" s="56"/>
      <c r="C13" s="56" t="s">
        <v>38</v>
      </c>
      <c r="D13" s="57" t="s">
        <v>39</v>
      </c>
      <c r="E13" s="58" t="s">
        <v>393</v>
      </c>
      <c r="F13" s="59">
        <f>1/72*((4*1.15*1.15)+(1.3*1.3))</f>
        <v>9.694444444444443E-2</v>
      </c>
      <c r="G13" s="60">
        <v>39990</v>
      </c>
      <c r="H13" s="61">
        <f t="shared" si="3"/>
        <v>3876.808</v>
      </c>
      <c r="J13" s="75">
        <f t="shared" si="4"/>
        <v>9.694444444444443E-2</v>
      </c>
      <c r="K13" s="67">
        <f t="shared" si="5"/>
        <v>3876.808</v>
      </c>
    </row>
    <row r="14" spans="1:17" ht="16">
      <c r="B14" s="56"/>
      <c r="C14" s="56" t="s">
        <v>40</v>
      </c>
      <c r="D14" s="57" t="s">
        <v>41</v>
      </c>
      <c r="E14" s="58" t="s">
        <v>90</v>
      </c>
      <c r="F14" s="59">
        <v>8</v>
      </c>
      <c r="G14" s="60">
        <f>Maestro</f>
        <v>7250</v>
      </c>
      <c r="H14" s="61">
        <f t="shared" ref="H14:H15" si="6">ROUND(F14*G14,3)</f>
        <v>58000</v>
      </c>
      <c r="J14" s="75">
        <f t="shared" si="1"/>
        <v>8</v>
      </c>
      <c r="K14" s="67">
        <f t="shared" si="2"/>
        <v>58000</v>
      </c>
    </row>
    <row r="15" spans="1:17" ht="16">
      <c r="B15" s="56"/>
      <c r="C15" s="56" t="s">
        <v>40</v>
      </c>
      <c r="D15" s="57" t="s">
        <v>41</v>
      </c>
      <c r="E15" s="58" t="s">
        <v>68</v>
      </c>
      <c r="F15" s="59">
        <v>16</v>
      </c>
      <c r="G15" s="60">
        <f>Jornal</f>
        <v>5397.2222222222226</v>
      </c>
      <c r="H15" s="61">
        <f t="shared" si="6"/>
        <v>86355.555999999997</v>
      </c>
      <c r="J15" s="75">
        <f t="shared" si="1"/>
        <v>16</v>
      </c>
      <c r="K15" s="67">
        <f t="shared" si="2"/>
        <v>86355.555999999997</v>
      </c>
    </row>
    <row r="16" spans="1:17" ht="16">
      <c r="B16" s="56"/>
      <c r="C16" s="56" t="s">
        <v>54</v>
      </c>
      <c r="D16" s="57" t="s">
        <v>42</v>
      </c>
      <c r="E16" s="58" t="s">
        <v>55</v>
      </c>
      <c r="F16" s="59">
        <v>0.2</v>
      </c>
      <c r="G16" s="60">
        <f>SUM(H14:H15)</f>
        <v>144355.55599999998</v>
      </c>
      <c r="H16" s="61">
        <f>ROUND(F16*G16,3)</f>
        <v>28871.111000000001</v>
      </c>
      <c r="J16" s="75">
        <f t="shared" si="1"/>
        <v>0.2</v>
      </c>
      <c r="K16" s="67">
        <f t="shared" si="2"/>
        <v>28871.111000000001</v>
      </c>
    </row>
    <row r="17" spans="2:11" ht="16">
      <c r="B17" s="56"/>
      <c r="C17" s="56" t="s">
        <v>94</v>
      </c>
      <c r="D17" s="57" t="s">
        <v>75</v>
      </c>
      <c r="E17" s="58" t="s">
        <v>482</v>
      </c>
      <c r="F17" s="59">
        <f>F7</f>
        <v>62.819999999999993</v>
      </c>
      <c r="G17" s="60">
        <f>Enf</f>
        <v>600</v>
      </c>
      <c r="H17" s="61">
        <f>ROUND(F17*G17,3)</f>
        <v>37692</v>
      </c>
      <c r="J17" s="75">
        <f t="shared" si="1"/>
        <v>62.819999999999993</v>
      </c>
      <c r="K17" s="67">
        <f t="shared" si="2"/>
        <v>37692</v>
      </c>
    </row>
    <row r="18" spans="2:11" ht="16">
      <c r="B18" s="56"/>
      <c r="C18" s="56" t="s">
        <v>54</v>
      </c>
      <c r="D18" s="57" t="s">
        <v>71</v>
      </c>
      <c r="E18" s="58" t="s">
        <v>372</v>
      </c>
      <c r="F18" s="59">
        <v>1</v>
      </c>
      <c r="G18" s="60">
        <f>3500+3500</f>
        <v>7000</v>
      </c>
      <c r="H18" s="61">
        <f>ROUND(F18*G18,3)</f>
        <v>7000</v>
      </c>
      <c r="J18" s="75">
        <f t="shared" si="1"/>
        <v>1</v>
      </c>
      <c r="K18" s="67">
        <f t="shared" si="2"/>
        <v>7000</v>
      </c>
    </row>
    <row r="19" spans="2:11" ht="16">
      <c r="B19" s="56"/>
      <c r="C19" s="56" t="s">
        <v>54</v>
      </c>
      <c r="D19" s="57" t="s">
        <v>71</v>
      </c>
      <c r="E19" s="58" t="s">
        <v>373</v>
      </c>
      <c r="F19" s="59">
        <v>1</v>
      </c>
      <c r="G19" s="60">
        <f>3500+3500</f>
        <v>7000</v>
      </c>
      <c r="H19" s="61">
        <f>ROUND(F19*G19,3)</f>
        <v>7000</v>
      </c>
      <c r="J19" s="75">
        <f t="shared" si="1"/>
        <v>1</v>
      </c>
      <c r="K19" s="67">
        <f t="shared" si="2"/>
        <v>7000</v>
      </c>
    </row>
    <row r="20" spans="2:11" ht="16">
      <c r="B20" s="56"/>
      <c r="C20" s="56" t="s">
        <v>54</v>
      </c>
      <c r="D20" s="57" t="s">
        <v>76</v>
      </c>
      <c r="E20" s="58" t="s">
        <v>368</v>
      </c>
      <c r="F20" s="59">
        <f>1/50</f>
        <v>0.02</v>
      </c>
      <c r="G20" s="60">
        <v>50000</v>
      </c>
      <c r="H20" s="61">
        <f>ROUND(F20*G20,3)</f>
        <v>1000</v>
      </c>
      <c r="J20" s="75">
        <f t="shared" si="1"/>
        <v>0.02</v>
      </c>
      <c r="K20" s="67">
        <f t="shared" si="2"/>
        <v>1000</v>
      </c>
    </row>
    <row r="21" spans="2:11" ht="16">
      <c r="B21" s="62"/>
      <c r="C21" s="62"/>
      <c r="D21" s="63"/>
      <c r="E21" s="64" t="s">
        <v>567</v>
      </c>
      <c r="F21" s="120">
        <f>$F$4</f>
        <v>1</v>
      </c>
      <c r="G21" s="65">
        <f>SUM(H5:H20)</f>
        <v>650632.39400000009</v>
      </c>
      <c r="H21" s="65">
        <f t="shared" ref="H21" si="7">ROUND(F21*G21,3)</f>
        <v>650632.39399999997</v>
      </c>
      <c r="K21" s="76">
        <f>SUM(K5:K20)</f>
        <v>650632.39400000009</v>
      </c>
    </row>
  </sheetData>
  <dataValidations disablePrompts="1" count="1">
    <dataValidation type="list" allowBlank="1" showErrorMessage="1" sqref="C21 C4" xr:uid="{2B942F05-7CA1-450E-8363-88D2FB8D5A19}">
      <formula1>"Capítulo,Partida,Mano de obra,Maquinaria,Material,Otros,Tarea"</formula1>
    </dataValidation>
  </dataValidations>
  <hyperlinks>
    <hyperlink ref="B1" location="'01.- Presupuesto'!A1" display="02.- Presupuesto'!A1" xr:uid="{4B4C5D9F-C4EF-A24F-811B-3CCEA80EBD36}"/>
  </hyperlinks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F3CF-6255-4399-92E8-F06B415DE643}">
  <sheetPr>
    <tabColor theme="9" tint="0.59999389629810485"/>
  </sheetPr>
  <dimension ref="A1:Q8"/>
  <sheetViews>
    <sheetView showGridLines="0" topLeftCell="E1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61</v>
      </c>
      <c r="C4" s="53" t="s">
        <v>36</v>
      </c>
      <c r="D4" s="148" t="str">
        <f>'01.- Presupuesto'!F32</f>
        <v>m</v>
      </c>
      <c r="E4" s="149" t="str">
        <f>'01.- Presupuesto'!C32</f>
        <v>Suministro e instalación cierre perimetral tipo Bulldog</v>
      </c>
      <c r="F4" s="73">
        <f>'01.- Presupuesto'!G32</f>
        <v>50</v>
      </c>
      <c r="G4" s="55">
        <f>G6</f>
        <v>30000</v>
      </c>
      <c r="H4" s="55">
        <f>H6</f>
        <v>1500000</v>
      </c>
      <c r="J4" s="74" t="s">
        <v>30</v>
      </c>
      <c r="K4" s="74" t="s">
        <v>37</v>
      </c>
      <c r="M4" s="70">
        <f>SUMIF(C5:C18,"Material",K5:K18)</f>
        <v>0</v>
      </c>
      <c r="N4" s="70">
        <f>SUMIF(C5:C18,"Mano de Obra",K5:K18)</f>
        <v>0</v>
      </c>
      <c r="O4" s="70">
        <f>SUMIF(C5:C18,"Subcontrato",K5:K18)</f>
        <v>1500000</v>
      </c>
      <c r="P4" s="70">
        <f>SUMIF(C5:C18,"Ser&amp;Arr",K5:K18)</f>
        <v>0</v>
      </c>
      <c r="Q4" s="71">
        <f>SUM(M4:P4)</f>
        <v>1500000</v>
      </c>
    </row>
    <row r="5" spans="1:17" ht="16">
      <c r="B5" s="56"/>
      <c r="C5" s="56" t="s">
        <v>94</v>
      </c>
      <c r="D5" s="57" t="s">
        <v>65</v>
      </c>
      <c r="E5" s="58" t="s">
        <v>528</v>
      </c>
      <c r="F5" s="59">
        <v>1</v>
      </c>
      <c r="G5" s="60">
        <f>SCBulldog</f>
        <v>30000</v>
      </c>
      <c r="H5" s="61">
        <f t="shared" ref="H5:H6" si="0">ROUND(F5*G5,3)</f>
        <v>30000</v>
      </c>
      <c r="J5" s="75">
        <f>F5*$F$4</f>
        <v>50</v>
      </c>
      <c r="K5" s="67">
        <f>H5*$F$4</f>
        <v>1500000</v>
      </c>
    </row>
    <row r="6" spans="1:17" ht="16">
      <c r="B6" s="62"/>
      <c r="C6" s="62"/>
      <c r="D6" s="63"/>
      <c r="E6" s="64" t="s">
        <v>529</v>
      </c>
      <c r="F6" s="120">
        <f>$F$4</f>
        <v>50</v>
      </c>
      <c r="G6" s="65">
        <f>SUM(H5:H5)</f>
        <v>30000</v>
      </c>
      <c r="H6" s="65">
        <f t="shared" si="0"/>
        <v>1500000</v>
      </c>
      <c r="K6" s="76">
        <f>SUM(K5:K5)</f>
        <v>1500000</v>
      </c>
    </row>
    <row r="8" spans="1:17">
      <c r="C8" s="66"/>
    </row>
  </sheetData>
  <dataValidations count="1">
    <dataValidation type="list" allowBlank="1" showErrorMessage="1" sqref="C6 C4" xr:uid="{D7B83F5E-9DE6-446E-805A-09A851C3DFD8}">
      <formula1>"Capítulo,Partida,Mano de obra,Maquinaria,Material,Otros,Tarea"</formula1>
    </dataValidation>
  </dataValidations>
  <hyperlinks>
    <hyperlink ref="B1" location="'01.- Presupuesto'!A1" display="02.- Presupuesto'!A1" xr:uid="{73A50E2A-AE83-BE4C-BE00-2E25A3C1F918}"/>
  </hyperlinks>
  <pageMargins left="0.7" right="0.7" top="0.75" bottom="0.75" header="0.3" footer="0.3"/>
  <pageSetup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FB26-6766-47D8-B131-F86011B2BF8D}">
  <sheetPr>
    <tabColor theme="9" tint="0.59999389629810485"/>
  </sheetPr>
  <dimension ref="A1:Q8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62</v>
      </c>
      <c r="C4" s="53" t="s">
        <v>36</v>
      </c>
      <c r="D4" s="148" t="str">
        <f>'01.- Presupuesto'!F33</f>
        <v>m</v>
      </c>
      <c r="E4" s="149" t="str">
        <f>'01.- Presupuesto'!C33</f>
        <v>Suministro e instalación cierre perimetral tipo Acmafor</v>
      </c>
      <c r="F4" s="73">
        <f>'01.- Presupuesto'!G33</f>
        <v>280</v>
      </c>
      <c r="G4" s="55">
        <f>G6</f>
        <v>30550</v>
      </c>
      <c r="H4" s="55">
        <f>H6</f>
        <v>8554000</v>
      </c>
      <c r="J4" s="74" t="s">
        <v>30</v>
      </c>
      <c r="K4" s="74" t="s">
        <v>37</v>
      </c>
      <c r="M4" s="70">
        <f>SUMIF(C5:C18,"Material",K5:K18)</f>
        <v>0</v>
      </c>
      <c r="N4" s="70">
        <f>SUMIF(C5:C18,"Mano de Obra",K5:K18)</f>
        <v>0</v>
      </c>
      <c r="O4" s="70">
        <f>SUMIF(C5:C18,"Subcontrato",K5:K18)</f>
        <v>8554000</v>
      </c>
      <c r="P4" s="70">
        <f>SUMIF(C5:C18,"Ser&amp;Arr",K5:K18)</f>
        <v>0</v>
      </c>
      <c r="Q4" s="71">
        <f>SUM(M4:P4)</f>
        <v>8554000</v>
      </c>
    </row>
    <row r="5" spans="1:17" ht="16">
      <c r="B5" s="56"/>
      <c r="C5" s="56" t="s">
        <v>94</v>
      </c>
      <c r="D5" s="57" t="s">
        <v>65</v>
      </c>
      <c r="E5" s="58" t="s">
        <v>532</v>
      </c>
      <c r="F5" s="59">
        <v>1</v>
      </c>
      <c r="G5" s="60">
        <f>SCAcmafor</f>
        <v>30550</v>
      </c>
      <c r="H5" s="61">
        <f t="shared" ref="H5" si="0">ROUND(F5*G5,3)</f>
        <v>30550</v>
      </c>
      <c r="J5" s="75">
        <f>F5*$F$4</f>
        <v>280</v>
      </c>
      <c r="K5" s="67">
        <f>H5*$F$4</f>
        <v>8554000</v>
      </c>
    </row>
    <row r="6" spans="1:17" ht="16">
      <c r="B6" s="62"/>
      <c r="C6" s="62"/>
      <c r="D6" s="63"/>
      <c r="E6" s="64" t="s">
        <v>533</v>
      </c>
      <c r="F6" s="120">
        <f>$F$4</f>
        <v>280</v>
      </c>
      <c r="G6" s="65">
        <f>SUM(H5:H5)</f>
        <v>30550</v>
      </c>
      <c r="H6" s="65">
        <f t="shared" ref="H6" si="1">ROUND(F6*G6,3)</f>
        <v>8554000</v>
      </c>
      <c r="K6" s="76">
        <f>SUM(K5:K5)</f>
        <v>8554000</v>
      </c>
    </row>
    <row r="8" spans="1:17">
      <c r="C8" s="66"/>
    </row>
  </sheetData>
  <dataValidations count="1">
    <dataValidation type="list" allowBlank="1" showErrorMessage="1" sqref="C6 C4" xr:uid="{753938C8-0079-442E-B887-7470C2982CD8}">
      <formula1>"Capítulo,Partida,Mano de obra,Maquinaria,Material,Otros,Tarea"</formula1>
    </dataValidation>
  </dataValidations>
  <hyperlinks>
    <hyperlink ref="B1" location="'01.- Presupuesto'!A1" display="02.- Presupuesto'!A1" xr:uid="{918FE403-4F99-7B40-92F0-D14899923327}"/>
  </hyperlinks>
  <pageMargins left="0.7" right="0.7" top="0.75" bottom="0.75" header="0.3" footer="0.3"/>
  <pageSetup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176C-2260-4E10-AAA9-1962AD764280}">
  <sheetPr>
    <tabColor theme="9" tint="0.59999389629810485"/>
  </sheetPr>
  <dimension ref="A1:Q8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80</v>
      </c>
      <c r="C4" s="53" t="s">
        <v>36</v>
      </c>
      <c r="D4" s="148" t="str">
        <f>'01.- Presupuesto'!F34</f>
        <v>un</v>
      </c>
      <c r="E4" s="149" t="str">
        <f>'01.- Presupuesto'!C34</f>
        <v>Suministro e instalación portón metálico vehicular 5m</v>
      </c>
      <c r="F4" s="73">
        <f>'01.- Presupuesto'!G34</f>
        <v>1</v>
      </c>
      <c r="G4" s="55">
        <f>G6</f>
        <v>1214017</v>
      </c>
      <c r="H4" s="55">
        <f>H6</f>
        <v>1214017</v>
      </c>
      <c r="J4" s="74" t="s">
        <v>30</v>
      </c>
      <c r="K4" s="74" t="s">
        <v>37</v>
      </c>
      <c r="M4" s="70">
        <f>SUMIF(C5:C18,"Material",K5:K18)</f>
        <v>0</v>
      </c>
      <c r="N4" s="70">
        <f>SUMIF(C5:C18,"Mano de Obra",K5:K18)</f>
        <v>0</v>
      </c>
      <c r="O4" s="70">
        <f>SUMIF(C5:C18,"Subcontrato",K5:K18)</f>
        <v>1214017</v>
      </c>
      <c r="P4" s="70">
        <f>SUMIF(C5:C18,"Ser&amp;Arr",K5:K18)</f>
        <v>0</v>
      </c>
      <c r="Q4" s="71">
        <f>SUM(M4:P4)</f>
        <v>1214017</v>
      </c>
    </row>
    <row r="5" spans="1:17" ht="16">
      <c r="B5" s="56"/>
      <c r="C5" s="56" t="s">
        <v>94</v>
      </c>
      <c r="D5" s="57" t="s">
        <v>76</v>
      </c>
      <c r="E5" s="58" t="s">
        <v>584</v>
      </c>
      <c r="F5" s="59">
        <v>1</v>
      </c>
      <c r="G5" s="60">
        <v>1214017</v>
      </c>
      <c r="H5" s="61">
        <f t="shared" ref="H5:H6" si="0">ROUND(F5*G5,3)</f>
        <v>1214017</v>
      </c>
      <c r="J5" s="75">
        <f>F5*$F$4</f>
        <v>1</v>
      </c>
      <c r="K5" s="67">
        <f>H5*$F$4</f>
        <v>1214017</v>
      </c>
    </row>
    <row r="6" spans="1:17" ht="16">
      <c r="B6" s="62"/>
      <c r="C6" s="62"/>
      <c r="D6" s="63"/>
      <c r="E6" s="64" t="s">
        <v>535</v>
      </c>
      <c r="F6" s="120">
        <f>$F$4</f>
        <v>1</v>
      </c>
      <c r="G6" s="65">
        <f>SUM(H5:H5)</f>
        <v>1214017</v>
      </c>
      <c r="H6" s="65">
        <f t="shared" si="0"/>
        <v>1214017</v>
      </c>
      <c r="K6" s="76">
        <f>SUM(K5:K5)</f>
        <v>1214017</v>
      </c>
    </row>
    <row r="8" spans="1:17">
      <c r="C8" s="66"/>
    </row>
  </sheetData>
  <dataValidations count="1">
    <dataValidation type="list" allowBlank="1" showErrorMessage="1" sqref="C6 C4" xr:uid="{DAAE2DAE-6249-4BC4-AE66-97C95C376582}">
      <formula1>"Capítulo,Partida,Mano de obra,Maquinaria,Material,Otros,Tarea"</formula1>
    </dataValidation>
  </dataValidations>
  <hyperlinks>
    <hyperlink ref="B1" location="'01.- Presupuesto'!A1" display="02.- Presupuesto'!A1" xr:uid="{C6B1D2EA-4055-8948-B613-C48EE15FA471}"/>
  </hyperlinks>
  <pageMargins left="0.7" right="0.7" top="0.75" bottom="0.75" header="0.3" footer="0.3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4C69-B725-4FE5-9E6B-F13489434799}">
  <sheetPr>
    <tabColor theme="9" tint="0.59999389629810485"/>
  </sheetPr>
  <dimension ref="A1:Q8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81</v>
      </c>
      <c r="C4" s="53" t="s">
        <v>36</v>
      </c>
      <c r="D4" s="148" t="str">
        <f>'01.- Presupuesto'!F35</f>
        <v>un</v>
      </c>
      <c r="E4" s="149" t="str">
        <f>'01.- Presupuesto'!C35</f>
        <v>Suministro e instalación portón metálico peatonal 1m</v>
      </c>
      <c r="F4" s="73">
        <f>'01.- Presupuesto'!G35</f>
        <v>1</v>
      </c>
      <c r="G4" s="55">
        <f>G6</f>
        <v>520466</v>
      </c>
      <c r="H4" s="55">
        <f>H6</f>
        <v>520466</v>
      </c>
      <c r="J4" s="74" t="s">
        <v>30</v>
      </c>
      <c r="K4" s="74" t="s">
        <v>37</v>
      </c>
      <c r="M4" s="70">
        <f>SUMIF(C5:C18,"Material",K5:K18)</f>
        <v>0</v>
      </c>
      <c r="N4" s="70">
        <f>SUMIF(C5:C18,"Mano de Obra",K5:K18)</f>
        <v>0</v>
      </c>
      <c r="O4" s="70">
        <f>SUMIF(C5:C18,"Subcontrato",K5:K18)</f>
        <v>520466</v>
      </c>
      <c r="P4" s="70">
        <f>SUMIF(C5:C18,"Ser&amp;Arr",K5:K18)</f>
        <v>0</v>
      </c>
      <c r="Q4" s="71">
        <f>SUM(M4:P4)</f>
        <v>520466</v>
      </c>
    </row>
    <row r="5" spans="1:17" ht="16">
      <c r="B5" s="56"/>
      <c r="C5" s="56" t="s">
        <v>94</v>
      </c>
      <c r="D5" s="57" t="s">
        <v>396</v>
      </c>
      <c r="E5" s="58" t="s">
        <v>583</v>
      </c>
      <c r="F5" s="59">
        <v>1</v>
      </c>
      <c r="G5" s="60">
        <v>520466</v>
      </c>
      <c r="H5" s="61">
        <f t="shared" ref="H5" si="0">ROUND(F5*G5,3)</f>
        <v>520466</v>
      </c>
      <c r="J5" s="75">
        <f>F5*$F$4</f>
        <v>1</v>
      </c>
      <c r="K5" s="67">
        <f>H5*$F$4</f>
        <v>520466</v>
      </c>
    </row>
    <row r="6" spans="1:17" ht="16">
      <c r="B6" s="62"/>
      <c r="C6" s="62"/>
      <c r="D6" s="63"/>
      <c r="E6" s="64" t="s">
        <v>534</v>
      </c>
      <c r="F6" s="120">
        <f>$F$4</f>
        <v>1</v>
      </c>
      <c r="G6" s="65">
        <f>SUM(H5:H5)</f>
        <v>520466</v>
      </c>
      <c r="H6" s="65">
        <f t="shared" ref="H6" si="1">ROUND(F6*G6,3)</f>
        <v>520466</v>
      </c>
      <c r="K6" s="76">
        <f>SUM(K5:K5)</f>
        <v>520466</v>
      </c>
    </row>
    <row r="8" spans="1:17">
      <c r="C8" s="66"/>
    </row>
  </sheetData>
  <dataValidations count="1">
    <dataValidation type="list" allowBlank="1" showErrorMessage="1" sqref="C6 C4" xr:uid="{0FCD085D-B19A-41A1-999B-6AEDA11F6205}">
      <formula1>"Capítulo,Partida,Mano de obra,Maquinaria,Material,Otros,Tarea"</formula1>
    </dataValidation>
  </dataValidations>
  <hyperlinks>
    <hyperlink ref="B1" location="'01.- Presupuesto'!A1" display="02.- Presupuesto'!A1" xr:uid="{EB1302FE-CFE8-E947-8F19-0DCB81CDCAC6}"/>
  </hyperlinks>
  <pageMargins left="0.7" right="0.7" top="0.75" bottom="0.75" header="0.3" footer="0.3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E597-50C1-4B95-9701-D7D5BACABDEE}">
  <sheetPr>
    <tabColor theme="9" tint="0.59999389629810485"/>
  </sheetPr>
  <dimension ref="A1:Q15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63</v>
      </c>
      <c r="C4" s="53" t="s">
        <v>36</v>
      </c>
      <c r="D4" s="148" t="str">
        <f>'01.- Presupuesto'!F39</f>
        <v>m3</v>
      </c>
      <c r="E4" s="149" t="str">
        <f>'01.- Presupuesto'!C39</f>
        <v>Suministro e Instalación Hormigón G25(10)20-8</v>
      </c>
      <c r="F4" s="73">
        <f>'01.- Presupuesto'!G39</f>
        <v>36.75</v>
      </c>
      <c r="G4" s="55">
        <f>G13</f>
        <v>141504.26700000002</v>
      </c>
      <c r="H4" s="55">
        <f>H13</f>
        <v>5200281.8119999999</v>
      </c>
      <c r="J4" s="74" t="s">
        <v>30</v>
      </c>
      <c r="K4" s="74" t="s">
        <v>37</v>
      </c>
      <c r="M4" s="70">
        <f>SUMIF(C5:C25,"Material",K5:K25)</f>
        <v>4568100.1537499996</v>
      </c>
      <c r="N4" s="70">
        <f>SUMIF(C5:C25,"Mano de Obra",K5:K25)</f>
        <v>353276.39025000005</v>
      </c>
      <c r="O4" s="70">
        <f>SUMIF(C5:C25,"Subcontrato",K5:K25)</f>
        <v>0</v>
      </c>
      <c r="P4" s="70">
        <f>SUMIF(C5:C25,"Ser&amp;Arr",K5:K25)</f>
        <v>278905.26824999996</v>
      </c>
      <c r="Q4" s="71">
        <f>SUM(M4:P4)</f>
        <v>5200281.8122499995</v>
      </c>
    </row>
    <row r="5" spans="1:17" ht="16">
      <c r="B5" s="56"/>
      <c r="C5" s="56" t="s">
        <v>38</v>
      </c>
      <c r="D5" s="57" t="s">
        <v>67</v>
      </c>
      <c r="E5" s="58" t="s">
        <v>370</v>
      </c>
      <c r="F5" s="59">
        <v>1.1000000000000001</v>
      </c>
      <c r="G5" s="60">
        <f>HormG25</f>
        <v>111910.95</v>
      </c>
      <c r="H5" s="61">
        <f t="shared" ref="H5:H13" si="0">ROUND(F5*G5,3)</f>
        <v>123102.045</v>
      </c>
      <c r="J5" s="75">
        <f>F5*$F$4</f>
        <v>40.425000000000004</v>
      </c>
      <c r="K5" s="67">
        <f>H5*$F$4</f>
        <v>4524000.1537499996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8" si="1">F6*$F$4</f>
        <v>3.6750000000000003</v>
      </c>
      <c r="K6" s="67">
        <f t="shared" ref="K6:K8" si="2">H6*$F$4</f>
        <v>44100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</f>
        <v>0.33333333333333331</v>
      </c>
      <c r="G7" s="60">
        <f>Maestro</f>
        <v>7250</v>
      </c>
      <c r="H7" s="61">
        <f t="shared" si="0"/>
        <v>2416.6669999999999</v>
      </c>
      <c r="J7" s="75">
        <f t="shared" si="1"/>
        <v>12.25</v>
      </c>
      <c r="K7" s="67">
        <f t="shared" si="2"/>
        <v>88812.51225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</f>
        <v>1.3333333333333333</v>
      </c>
      <c r="G8" s="60">
        <f>Jornal</f>
        <v>5397.2222222222226</v>
      </c>
      <c r="H8" s="61">
        <f t="shared" si="0"/>
        <v>7196.2960000000003</v>
      </c>
      <c r="J8" s="75">
        <f t="shared" si="1"/>
        <v>49</v>
      </c>
      <c r="K8" s="67">
        <f t="shared" si="2"/>
        <v>264463.87800000003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9612.9629999999997</v>
      </c>
      <c r="H9" s="61">
        <f>ROUND(F9*G9,3)</f>
        <v>1922.5930000000001</v>
      </c>
      <c r="J9" s="75">
        <f>F9*$F$4</f>
        <v>7.3500000000000005</v>
      </c>
      <c r="K9" s="67">
        <f>H9*$F$4</f>
        <v>70655.292750000008</v>
      </c>
    </row>
    <row r="10" spans="1:17" ht="16">
      <c r="B10" s="56"/>
      <c r="C10" s="56" t="s">
        <v>54</v>
      </c>
      <c r="D10" s="57" t="s">
        <v>71</v>
      </c>
      <c r="E10" s="58" t="s">
        <v>372</v>
      </c>
      <c r="F10" s="59">
        <f>1/3</f>
        <v>0.33333333333333331</v>
      </c>
      <c r="G10" s="60">
        <f>3500+3500</f>
        <v>7000</v>
      </c>
      <c r="H10" s="61">
        <f>ROUND(F10*G10,3)</f>
        <v>2333.3330000000001</v>
      </c>
      <c r="J10" s="75">
        <f>F10*$F$4</f>
        <v>12.25</v>
      </c>
      <c r="K10" s="67">
        <f>H10*$F$4</f>
        <v>85749.98775</v>
      </c>
    </row>
    <row r="11" spans="1:17" ht="16">
      <c r="B11" s="56"/>
      <c r="C11" s="56" t="s">
        <v>54</v>
      </c>
      <c r="D11" s="57" t="s">
        <v>71</v>
      </c>
      <c r="E11" s="58" t="s">
        <v>373</v>
      </c>
      <c r="F11" s="59">
        <f>1/3</f>
        <v>0.33333333333333331</v>
      </c>
      <c r="G11" s="60">
        <f>3500+3500</f>
        <v>7000</v>
      </c>
      <c r="H11" s="61">
        <f>ROUND(F11*G11,3)</f>
        <v>2333.3330000000001</v>
      </c>
      <c r="J11" s="75">
        <f>F11*$F$4</f>
        <v>12.25</v>
      </c>
      <c r="K11" s="67">
        <f>H11*$F$4</f>
        <v>85749.98775</v>
      </c>
    </row>
    <row r="12" spans="1:17" ht="16">
      <c r="B12" s="56"/>
      <c r="C12" s="56" t="s">
        <v>54</v>
      </c>
      <c r="D12" s="57" t="s">
        <v>76</v>
      </c>
      <c r="E12" s="58" t="s">
        <v>368</v>
      </c>
      <c r="F12" s="59">
        <f>1/50</f>
        <v>0.02</v>
      </c>
      <c r="G12" s="60">
        <v>50000</v>
      </c>
      <c r="H12" s="61">
        <f>ROUND(F12*G12,3)</f>
        <v>1000</v>
      </c>
      <c r="J12" s="75">
        <f>F12*$F$4</f>
        <v>0.73499999999999999</v>
      </c>
      <c r="K12" s="67">
        <f>H12*$F$4</f>
        <v>36750</v>
      </c>
    </row>
    <row r="13" spans="1:17" ht="16">
      <c r="B13" s="62"/>
      <c r="C13" s="62"/>
      <c r="D13" s="63"/>
      <c r="E13" s="64" t="s">
        <v>369</v>
      </c>
      <c r="F13" s="120">
        <f>$F$4</f>
        <v>36.75</v>
      </c>
      <c r="G13" s="65">
        <f>SUM(H5:H12)</f>
        <v>141504.26700000002</v>
      </c>
      <c r="H13" s="65">
        <f t="shared" si="0"/>
        <v>5200281.8119999999</v>
      </c>
      <c r="K13" s="76">
        <f>SUM(K5:K12)</f>
        <v>5200281.8122500004</v>
      </c>
    </row>
    <row r="15" spans="1:17">
      <c r="C15" s="66"/>
    </row>
  </sheetData>
  <dataValidations count="1">
    <dataValidation type="list" allowBlank="1" showErrorMessage="1" sqref="C13 C4" xr:uid="{B5416C40-DAE5-4F54-9B19-40DF9B34B0A6}">
      <formula1>"Capítulo,Partida,Mano de obra,Maquinaria,Material,Otros,Tarea"</formula1>
    </dataValidation>
  </dataValidations>
  <hyperlinks>
    <hyperlink ref="B1" location="'01.- Presupuesto'!A1" display="02.- Presupuesto'!A1" xr:uid="{A640752C-2218-DE49-B0E8-FEA2E2E2D225}"/>
  </hyperlinks>
  <pageMargins left="0.7" right="0.7" top="0.75" bottom="0.75" header="0.3" footer="0.3"/>
  <pageSetup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8412-AB29-44C3-A753-9DA1E23C0563}">
  <sheetPr>
    <tabColor theme="9" tint="0.59999389629810485"/>
  </sheetPr>
  <dimension ref="A1:Q12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64</v>
      </c>
      <c r="C4" s="53" t="s">
        <v>36</v>
      </c>
      <c r="D4" s="148" t="str">
        <f>'01.- Presupuesto'!F40</f>
        <v>m3</v>
      </c>
      <c r="E4" s="149" t="str">
        <f>'01.- Presupuesto'!C40</f>
        <v>Suministro e instalación emplantillado hormigón G5</v>
      </c>
      <c r="F4" s="73">
        <f>'01.- Presupuesto'!G40</f>
        <v>5.25</v>
      </c>
      <c r="G4" s="55">
        <f>G10</f>
        <v>120719.806</v>
      </c>
      <c r="H4" s="55">
        <f>H10</f>
        <v>633778.98199999996</v>
      </c>
      <c r="J4" s="74" t="s">
        <v>30</v>
      </c>
      <c r="K4" s="74" t="s">
        <v>37</v>
      </c>
      <c r="M4" s="70">
        <f>SUMIF(C5:C22,"Material",K5:K22)</f>
        <v>573217.3125</v>
      </c>
      <c r="N4" s="70">
        <f>SUMIF(C5:C22,"Mano de Obra",K5:K22)</f>
        <v>50468.05575</v>
      </c>
      <c r="O4" s="70">
        <f>SUMIF(C5:C22,"Subcontrato",K5:K22)</f>
        <v>0</v>
      </c>
      <c r="P4" s="70">
        <f>SUMIF(C5:C22,"Ser&amp;Arr",K5:K22)</f>
        <v>10093.61325</v>
      </c>
      <c r="Q4" s="71">
        <f>SUM(M4:P4)</f>
        <v>633778.98150000011</v>
      </c>
    </row>
    <row r="5" spans="1:17" ht="16">
      <c r="B5" s="56"/>
      <c r="C5" s="56" t="s">
        <v>38</v>
      </c>
      <c r="D5" s="57" t="s">
        <v>67</v>
      </c>
      <c r="E5" s="58" t="s">
        <v>383</v>
      </c>
      <c r="F5" s="59">
        <v>1.1000000000000001</v>
      </c>
      <c r="G5" s="60">
        <f>HormG5</f>
        <v>98167.5</v>
      </c>
      <c r="H5" s="61">
        <f t="shared" ref="H5:H8" si="0">ROUND(F5*G5,3)</f>
        <v>107984.25</v>
      </c>
      <c r="J5" s="75">
        <f>F5*$F$4</f>
        <v>5.7750000000000004</v>
      </c>
      <c r="K5" s="67">
        <f>H5*$F$4</f>
        <v>566917.3125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9" si="1">F6*$F$4</f>
        <v>0.52500000000000002</v>
      </c>
      <c r="K6" s="67">
        <f t="shared" ref="K6:K9" si="2">H6*$F$4</f>
        <v>6300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</f>
        <v>0.33333333333333331</v>
      </c>
      <c r="G7" s="60">
        <f>Maestro</f>
        <v>7250</v>
      </c>
      <c r="H7" s="61">
        <f t="shared" si="0"/>
        <v>2416.6669999999999</v>
      </c>
      <c r="J7" s="75">
        <f t="shared" si="1"/>
        <v>1.75</v>
      </c>
      <c r="K7" s="67">
        <f t="shared" si="2"/>
        <v>12687.501749999999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</f>
        <v>1.3333333333333333</v>
      </c>
      <c r="G8" s="60">
        <f>Jornal</f>
        <v>5397.2222222222226</v>
      </c>
      <c r="H8" s="61">
        <f t="shared" si="0"/>
        <v>7196.2960000000003</v>
      </c>
      <c r="J8" s="75">
        <f t="shared" si="1"/>
        <v>7</v>
      </c>
      <c r="K8" s="67">
        <f t="shared" si="2"/>
        <v>37780.554000000004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9612.9629999999997</v>
      </c>
      <c r="H9" s="61">
        <f>ROUND(F9*G9,3)</f>
        <v>1922.5930000000001</v>
      </c>
      <c r="J9" s="75">
        <f t="shared" si="1"/>
        <v>1.05</v>
      </c>
      <c r="K9" s="67">
        <f t="shared" si="2"/>
        <v>10093.61325</v>
      </c>
    </row>
    <row r="10" spans="1:17" ht="16">
      <c r="B10" s="62"/>
      <c r="C10" s="62"/>
      <c r="D10" s="63"/>
      <c r="E10" s="64" t="s">
        <v>384</v>
      </c>
      <c r="F10" s="120">
        <f>$F$4</f>
        <v>5.25</v>
      </c>
      <c r="G10" s="65">
        <f>SUM(H5:H9)</f>
        <v>120719.806</v>
      </c>
      <c r="H10" s="65">
        <f t="shared" ref="H10" si="3">ROUND(F10*G10,3)</f>
        <v>633778.98199999996</v>
      </c>
      <c r="K10" s="76">
        <f>SUM(K5:K9)</f>
        <v>633778.98150000011</v>
      </c>
    </row>
    <row r="12" spans="1:17">
      <c r="C12" s="66"/>
    </row>
  </sheetData>
  <dataValidations count="1">
    <dataValidation type="list" allowBlank="1" showErrorMessage="1" sqref="C10 C4" xr:uid="{AE11F2B9-8145-46DB-A1CB-8CFC31ED1C51}">
      <formula1>"Capítulo,Partida,Mano de obra,Maquinaria,Material,Otros,Tarea"</formula1>
    </dataValidation>
  </dataValidations>
  <hyperlinks>
    <hyperlink ref="B1" location="'01.- Presupuesto'!A1" display="02.- Presupuesto'!A1" xr:uid="{F8C95D03-819C-0D40-85CB-A8FBDD4A4666}"/>
  </hyperlinks>
  <pageMargins left="0.7" right="0.7" top="0.75" bottom="0.75" header="0.3" footer="0.3"/>
  <pageSetup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BB7E-941C-499F-86DF-7D40D19048FC}">
  <sheetPr>
    <tabColor theme="9" tint="0.59999389629810485"/>
  </sheetPr>
  <dimension ref="A1:Q15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82</v>
      </c>
      <c r="C4" s="53" t="s">
        <v>36</v>
      </c>
      <c r="D4" s="148" t="str">
        <f>'01.- Presupuesto'!F41</f>
        <v>m3</v>
      </c>
      <c r="E4" s="149" t="str">
        <f>'01.- Presupuesto'!C41</f>
        <v>Suministro e Instalación relleno estructural compactado al 95% DMSC</v>
      </c>
      <c r="F4" s="73">
        <f>'01.- Presupuesto'!G41</f>
        <v>199.5</v>
      </c>
      <c r="G4" s="55">
        <f>G13</f>
        <v>31578.853999999996</v>
      </c>
      <c r="H4" s="55">
        <f>H13</f>
        <v>6299981.3729999997</v>
      </c>
      <c r="J4" s="74" t="s">
        <v>30</v>
      </c>
      <c r="K4" s="74" t="s">
        <v>37</v>
      </c>
      <c r="M4" s="70">
        <f>SUMIF(C5:C25,"Material",K5:K25)</f>
        <v>5187000</v>
      </c>
      <c r="N4" s="70">
        <f>SUMIF(C5:C25,"Mano de Obra",K5:K25)</f>
        <v>287667.82799999998</v>
      </c>
      <c r="O4" s="70">
        <f>SUMIF(C5:C25,"Subcontrato",K5:K25)</f>
        <v>0</v>
      </c>
      <c r="P4" s="70">
        <f>SUMIF(C5:C25,"Ser&amp;Arr",K5:K25)</f>
        <v>825313.54499999993</v>
      </c>
      <c r="Q4" s="71">
        <f>SUM(M4:P4)</f>
        <v>6299981.3729999997</v>
      </c>
    </row>
    <row r="5" spans="1:17" ht="16">
      <c r="B5" s="56"/>
      <c r="C5" s="56" t="s">
        <v>38</v>
      </c>
      <c r="D5" s="57" t="s">
        <v>67</v>
      </c>
      <c r="E5" s="58" t="s">
        <v>362</v>
      </c>
      <c r="F5" s="59">
        <v>1.3</v>
      </c>
      <c r="G5" s="60">
        <f>Base50</f>
        <v>20000</v>
      </c>
      <c r="H5" s="61">
        <f t="shared" ref="H5:H12" si="0">ROUND(F5*G5,3)</f>
        <v>26000</v>
      </c>
      <c r="J5" s="75">
        <f>F5*$F$4</f>
        <v>259.35000000000002</v>
      </c>
      <c r="K5" s="67">
        <f>H5*$F$4</f>
        <v>5187000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1/20</f>
        <v>0.05</v>
      </c>
      <c r="G6" s="60">
        <f>Maestro</f>
        <v>7250</v>
      </c>
      <c r="H6" s="61">
        <f t="shared" si="0"/>
        <v>362.5</v>
      </c>
      <c r="J6" s="75">
        <f t="shared" ref="J6:J8" si="1">F6*$F$4</f>
        <v>9.9750000000000014</v>
      </c>
      <c r="K6" s="67">
        <f t="shared" ref="K6:K8" si="2">H6*$F$4</f>
        <v>72318.75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4*1/20</f>
        <v>0.2</v>
      </c>
      <c r="G7" s="60">
        <f>Jornal</f>
        <v>5397.2222222222226</v>
      </c>
      <c r="H7" s="61">
        <f t="shared" si="0"/>
        <v>1079.444</v>
      </c>
      <c r="J7" s="75">
        <f t="shared" si="1"/>
        <v>39.900000000000006</v>
      </c>
      <c r="K7" s="67">
        <f t="shared" si="2"/>
        <v>215349.07799999998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1441.944</v>
      </c>
      <c r="H8" s="61">
        <f>ROUND(F8*G8,3)</f>
        <v>288.38900000000001</v>
      </c>
      <c r="J8" s="75">
        <f t="shared" si="1"/>
        <v>39.900000000000006</v>
      </c>
      <c r="K8" s="67">
        <f t="shared" si="2"/>
        <v>57533.605500000005</v>
      </c>
    </row>
    <row r="9" spans="1:17" ht="16">
      <c r="B9" s="56"/>
      <c r="C9" s="56" t="s">
        <v>54</v>
      </c>
      <c r="D9" s="57" t="s">
        <v>348</v>
      </c>
      <c r="E9" s="58" t="s">
        <v>350</v>
      </c>
      <c r="F9" s="59">
        <f>1/20</f>
        <v>0.05</v>
      </c>
      <c r="G9" s="60">
        <f>Retroexcavadora</f>
        <v>32000</v>
      </c>
      <c r="H9" s="61">
        <f t="shared" si="0"/>
        <v>1600</v>
      </c>
      <c r="J9" s="75">
        <f t="shared" ref="J9:J12" si="3">F9*$F$4</f>
        <v>9.9750000000000014</v>
      </c>
      <c r="K9" s="67">
        <f t="shared" ref="K9:K12" si="4">H9*$F$4</f>
        <v>319200</v>
      </c>
    </row>
    <row r="10" spans="1:17" ht="16">
      <c r="B10" s="56"/>
      <c r="C10" s="56" t="s">
        <v>54</v>
      </c>
      <c r="D10" s="57" t="s">
        <v>71</v>
      </c>
      <c r="E10" s="58" t="s">
        <v>385</v>
      </c>
      <c r="F10" s="59">
        <f>1/20/8</f>
        <v>6.2500000000000003E-3</v>
      </c>
      <c r="G10" s="60">
        <v>25000</v>
      </c>
      <c r="H10" s="61">
        <f t="shared" si="0"/>
        <v>156.25</v>
      </c>
      <c r="J10" s="75">
        <f t="shared" si="3"/>
        <v>1.2468750000000002</v>
      </c>
      <c r="K10" s="67">
        <f t="shared" si="4"/>
        <v>31171.875</v>
      </c>
    </row>
    <row r="11" spans="1:17" ht="16">
      <c r="B11" s="56"/>
      <c r="C11" s="56" t="s">
        <v>54</v>
      </c>
      <c r="D11" s="57" t="s">
        <v>76</v>
      </c>
      <c r="E11" s="58" t="s">
        <v>358</v>
      </c>
      <c r="F11" s="59">
        <f>1/F4</f>
        <v>5.0125313283208017E-3</v>
      </c>
      <c r="G11" s="60">
        <f>(0.6+4.4)*UF</f>
        <v>196335</v>
      </c>
      <c r="H11" s="61">
        <f t="shared" si="0"/>
        <v>984.13499999999999</v>
      </c>
      <c r="J11" s="75">
        <f t="shared" si="3"/>
        <v>1</v>
      </c>
      <c r="K11" s="67">
        <f t="shared" si="4"/>
        <v>196334.9325</v>
      </c>
    </row>
    <row r="12" spans="1:17" ht="16">
      <c r="B12" s="56"/>
      <c r="C12" s="56" t="s">
        <v>54</v>
      </c>
      <c r="D12" s="57" t="s">
        <v>76</v>
      </c>
      <c r="E12" s="58" t="s">
        <v>386</v>
      </c>
      <c r="F12" s="59">
        <f>3/F4</f>
        <v>1.5037593984962405E-2</v>
      </c>
      <c r="G12" s="60">
        <f>(0.41+4.4/3)*UF</f>
        <v>73691.070000000007</v>
      </c>
      <c r="H12" s="61">
        <f t="shared" si="0"/>
        <v>1108.136</v>
      </c>
      <c r="J12" s="75">
        <f t="shared" si="3"/>
        <v>3</v>
      </c>
      <c r="K12" s="67">
        <f t="shared" si="4"/>
        <v>221073.13199999998</v>
      </c>
    </row>
    <row r="13" spans="1:17" ht="16">
      <c r="B13" s="62"/>
      <c r="C13" s="62"/>
      <c r="D13" s="63"/>
      <c r="E13" s="64" t="s">
        <v>388</v>
      </c>
      <c r="F13" s="120">
        <f>$F$4</f>
        <v>199.5</v>
      </c>
      <c r="G13" s="65">
        <f>SUM(H5:H12)</f>
        <v>31578.853999999996</v>
      </c>
      <c r="H13" s="65">
        <f t="shared" ref="H13" si="5">ROUND(F13*G13,3)</f>
        <v>6299981.3729999997</v>
      </c>
      <c r="K13" s="76">
        <f>SUM(K5:K12)</f>
        <v>6299981.3729999997</v>
      </c>
    </row>
    <row r="15" spans="1:17">
      <c r="C15" s="66"/>
    </row>
  </sheetData>
  <dataValidations count="1">
    <dataValidation type="list" allowBlank="1" showErrorMessage="1" sqref="C13 C4" xr:uid="{582937A2-05D7-4D41-8216-CE99993A3CA0}">
      <formula1>"Capítulo,Partida,Mano de obra,Maquinaria,Material,Otros,Tarea"</formula1>
    </dataValidation>
  </dataValidations>
  <hyperlinks>
    <hyperlink ref="B1" location="'01.- Presupuesto'!A1" display="02.- Presupuesto'!A1" xr:uid="{57414CD8-8DD9-4344-A2F1-5D6F8FDFD1DD}"/>
  </hyperlinks>
  <pageMargins left="0.7" right="0.7" top="0.75" bottom="0.75" header="0.3" footer="0.3"/>
  <pageSetup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81DC-472E-4817-9FDD-C4AC0ADE8F9D}">
  <sheetPr>
    <tabColor theme="9" tint="0.59999389629810485"/>
  </sheetPr>
  <dimension ref="A1:Q11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83</v>
      </c>
      <c r="C4" s="53" t="s">
        <v>36</v>
      </c>
      <c r="D4" s="148" t="str">
        <f>'01.- Presupuesto'!F42</f>
        <v>m3</v>
      </c>
      <c r="E4" s="149" t="str">
        <f>'01.- Presupuesto'!C42</f>
        <v>Excavación maquinaría local y traslado a botadero, hasta 20 Km</v>
      </c>
      <c r="F4" s="73">
        <f>'01.- Presupuesto'!G42</f>
        <v>246.75</v>
      </c>
      <c r="G4" s="55">
        <f>G9</f>
        <v>25500</v>
      </c>
      <c r="H4" s="55">
        <f>H9</f>
        <v>6292125</v>
      </c>
      <c r="J4" s="74" t="s">
        <v>30</v>
      </c>
      <c r="K4" s="74" t="s">
        <v>37</v>
      </c>
      <c r="M4" s="70">
        <f>SUMIF(C5:C21,"Material",K5:K21)</f>
        <v>0</v>
      </c>
      <c r="N4" s="70">
        <f>SUMIF(C5:C21,"Mano de Obra",K5:K21)</f>
        <v>0</v>
      </c>
      <c r="O4" s="70">
        <f>SUMIF(C5:C21,"Subcontrato",K5:K21)</f>
        <v>0</v>
      </c>
      <c r="P4" s="70">
        <f>SUMIF(C5:C21,"Ser&amp;Arr",K5:K21)</f>
        <v>6292125</v>
      </c>
      <c r="Q4" s="71">
        <f>SUM(M4:P4)</f>
        <v>6292125</v>
      </c>
    </row>
    <row r="5" spans="1:17" ht="16">
      <c r="B5" s="56"/>
      <c r="C5" s="56" t="s">
        <v>54</v>
      </c>
      <c r="D5" s="57" t="s">
        <v>348</v>
      </c>
      <c r="E5" s="58" t="s">
        <v>353</v>
      </c>
      <c r="F5" s="59">
        <f>1/20</f>
        <v>0.05</v>
      </c>
      <c r="G5" s="60">
        <f>Excavadora</f>
        <v>50000</v>
      </c>
      <c r="H5" s="61">
        <f t="shared" ref="H5:H8" si="0">ROUND(F5*G5,3)</f>
        <v>2500</v>
      </c>
      <c r="J5" s="75">
        <f>F5*$F$4</f>
        <v>12.3375</v>
      </c>
      <c r="K5" s="67">
        <f>H5*$F$4</f>
        <v>616875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8" si="1">F6*$F$4</f>
        <v>12.3375</v>
      </c>
      <c r="K6" s="67">
        <f t="shared" ref="K6:K8" si="2">H6*$F$4</f>
        <v>394800</v>
      </c>
    </row>
    <row r="7" spans="1:17" ht="16">
      <c r="B7" s="56"/>
      <c r="C7" s="56" t="s">
        <v>54</v>
      </c>
      <c r="D7" s="57" t="s">
        <v>348</v>
      </c>
      <c r="E7" s="58" t="s">
        <v>349</v>
      </c>
      <c r="F7" s="59">
        <f>1/20</f>
        <v>0.05</v>
      </c>
      <c r="G7" s="60">
        <f>Tolva</f>
        <v>38000</v>
      </c>
      <c r="H7" s="61">
        <f t="shared" si="0"/>
        <v>1900</v>
      </c>
      <c r="J7" s="75">
        <f t="shared" si="1"/>
        <v>12.3375</v>
      </c>
      <c r="K7" s="67">
        <f t="shared" si="2"/>
        <v>468825</v>
      </c>
    </row>
    <row r="8" spans="1:17" ht="16">
      <c r="B8" s="56"/>
      <c r="C8" s="56" t="s">
        <v>54</v>
      </c>
      <c r="D8" s="57" t="s">
        <v>67</v>
      </c>
      <c r="E8" s="58" t="s">
        <v>70</v>
      </c>
      <c r="F8" s="59">
        <v>1.3</v>
      </c>
      <c r="G8" s="60">
        <v>15000</v>
      </c>
      <c r="H8" s="61">
        <f t="shared" si="0"/>
        <v>19500</v>
      </c>
      <c r="J8" s="75">
        <f t="shared" si="1"/>
        <v>320.77500000000003</v>
      </c>
      <c r="K8" s="67">
        <f t="shared" si="2"/>
        <v>4811625</v>
      </c>
    </row>
    <row r="9" spans="1:17" ht="16">
      <c r="B9" s="62"/>
      <c r="C9" s="62"/>
      <c r="D9" s="63"/>
      <c r="E9" s="64" t="s">
        <v>389</v>
      </c>
      <c r="F9" s="120">
        <f>$F$4</f>
        <v>246.75</v>
      </c>
      <c r="G9" s="65">
        <f>SUM(H5:H8)</f>
        <v>25500</v>
      </c>
      <c r="H9" s="65">
        <f t="shared" ref="H9" si="3">ROUND(F9*G9,3)</f>
        <v>6292125</v>
      </c>
      <c r="K9" s="76">
        <f>SUM(K5:K8)</f>
        <v>6292125</v>
      </c>
    </row>
    <row r="11" spans="1:17">
      <c r="C11" s="66"/>
    </row>
  </sheetData>
  <dataValidations count="1">
    <dataValidation type="list" allowBlank="1" showErrorMessage="1" sqref="C9 C4" xr:uid="{415E4D9A-A0EC-4AE4-9BC9-CB7EA1C66489}">
      <formula1>"Capítulo,Partida,Mano de obra,Maquinaria,Material,Otros,Tarea"</formula1>
    </dataValidation>
  </dataValidations>
  <hyperlinks>
    <hyperlink ref="B1" location="'01.- Presupuesto'!A1" display="02.- Presupuesto'!A1" xr:uid="{1532663E-D598-C547-ABF7-7B40C8F5F62A}"/>
  </hyperlinks>
  <pageMargins left="0.7" right="0.7" top="0.75" bottom="0.75" header="0.3" footer="0.3"/>
  <pageSetup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F858-1F7D-494E-A786-4AEF4C175E64}">
  <sheetPr>
    <tabColor theme="9" tint="0.59999389629810485"/>
  </sheetPr>
  <dimension ref="A1:Q14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118</v>
      </c>
      <c r="C4" s="53" t="s">
        <v>36</v>
      </c>
      <c r="D4" s="148" t="str">
        <f>'01.- Presupuesto'!F43</f>
        <v>m2</v>
      </c>
      <c r="E4" s="149" t="str">
        <f>'01.- Presupuesto'!C43</f>
        <v>Suministro y construcción moldajes de madera o metálicos</v>
      </c>
      <c r="F4" s="73">
        <f>'01.- Presupuesto'!G43</f>
        <v>35</v>
      </c>
      <c r="G4" s="55">
        <f>G12</f>
        <v>16475.795999999998</v>
      </c>
      <c r="H4" s="55">
        <f>H12</f>
        <v>576652.86</v>
      </c>
      <c r="J4" s="74" t="s">
        <v>30</v>
      </c>
      <c r="K4" s="74" t="s">
        <v>37</v>
      </c>
      <c r="M4" s="70">
        <f>SUMIF(C5:C24,"Material",K5:K24)</f>
        <v>414252.86</v>
      </c>
      <c r="N4" s="70">
        <f>SUMIF(C5:C24,"Mano de Obra",K5:K24)</f>
        <v>135333.345</v>
      </c>
      <c r="O4" s="70">
        <f>SUMIF(C5:C24,"Subcontrato",K5:K24)</f>
        <v>0</v>
      </c>
      <c r="P4" s="70">
        <f>SUMIF(C5:C24,"Ser&amp;Arr",K5:K24)</f>
        <v>27066.654999999999</v>
      </c>
      <c r="Q4" s="71">
        <f>SUM(M4:P4)</f>
        <v>576652.86</v>
      </c>
    </row>
    <row r="5" spans="1:17" ht="16">
      <c r="B5" s="56"/>
      <c r="C5" s="56" t="s">
        <v>38</v>
      </c>
      <c r="D5" s="57" t="s">
        <v>39</v>
      </c>
      <c r="E5" s="58" t="s">
        <v>390</v>
      </c>
      <c r="F5" s="59">
        <f>1/0.48</f>
        <v>2.0833333333333335</v>
      </c>
      <c r="G5" s="60">
        <v>2400</v>
      </c>
      <c r="H5" s="61">
        <f t="shared" ref="H5:H12" si="0">ROUND(F5*G5,3)</f>
        <v>5000</v>
      </c>
      <c r="J5" s="75">
        <f>F5*$F$4</f>
        <v>72.916666666666671</v>
      </c>
      <c r="K5" s="67">
        <f>H5*$F$4</f>
        <v>175000</v>
      </c>
    </row>
    <row r="6" spans="1:17" ht="16">
      <c r="B6" s="56"/>
      <c r="C6" s="56" t="s">
        <v>38</v>
      </c>
      <c r="D6" s="57" t="s">
        <v>39</v>
      </c>
      <c r="E6" s="58" t="s">
        <v>391</v>
      </c>
      <c r="F6" s="59">
        <f>1.05*1/(1.22*2.44)</f>
        <v>0.35272776135447464</v>
      </c>
      <c r="G6" s="60">
        <v>16966</v>
      </c>
      <c r="H6" s="61">
        <f t="shared" si="0"/>
        <v>5984.3789999999999</v>
      </c>
      <c r="J6" s="75">
        <f t="shared" ref="J6:J10" si="1">F6*$F$4</f>
        <v>12.345471647406612</v>
      </c>
      <c r="K6" s="67">
        <f t="shared" ref="K6:K10" si="2">H6*$F$4</f>
        <v>209453.26499999998</v>
      </c>
    </row>
    <row r="7" spans="1:17" ht="16">
      <c r="B7" s="56"/>
      <c r="C7" s="56" t="s">
        <v>38</v>
      </c>
      <c r="D7" s="57" t="s">
        <v>75</v>
      </c>
      <c r="E7" s="58" t="s">
        <v>392</v>
      </c>
      <c r="F7" s="59">
        <f>1/4</f>
        <v>0.25</v>
      </c>
      <c r="G7" s="60">
        <v>1184</v>
      </c>
      <c r="H7" s="61">
        <f t="shared" si="0"/>
        <v>296</v>
      </c>
      <c r="J7" s="75">
        <f t="shared" si="1"/>
        <v>8.75</v>
      </c>
      <c r="K7" s="67">
        <f t="shared" si="2"/>
        <v>10360</v>
      </c>
    </row>
    <row r="8" spans="1:17" ht="16">
      <c r="B8" s="56"/>
      <c r="C8" s="56" t="s">
        <v>38</v>
      </c>
      <c r="D8" s="57" t="s">
        <v>39</v>
      </c>
      <c r="E8" s="58" t="s">
        <v>393</v>
      </c>
      <c r="F8" s="59">
        <f>1/72</f>
        <v>1.3888888888888888E-2</v>
      </c>
      <c r="G8" s="60">
        <v>39990</v>
      </c>
      <c r="H8" s="61">
        <f t="shared" si="0"/>
        <v>555.41700000000003</v>
      </c>
      <c r="J8" s="75">
        <f t="shared" si="1"/>
        <v>0.4861111111111111</v>
      </c>
      <c r="K8" s="67">
        <f t="shared" si="2"/>
        <v>19439.595000000001</v>
      </c>
    </row>
    <row r="9" spans="1:17" ht="16">
      <c r="B9" s="56"/>
      <c r="C9" s="56" t="s">
        <v>40</v>
      </c>
      <c r="D9" s="57" t="s">
        <v>41</v>
      </c>
      <c r="E9" s="58" t="s">
        <v>90</v>
      </c>
      <c r="F9" s="59">
        <f>0.3</f>
        <v>0.3</v>
      </c>
      <c r="G9" s="60">
        <f>Maestro</f>
        <v>7250</v>
      </c>
      <c r="H9" s="61">
        <f t="shared" si="0"/>
        <v>2175</v>
      </c>
      <c r="J9" s="75">
        <f t="shared" si="1"/>
        <v>10.5</v>
      </c>
      <c r="K9" s="67">
        <f t="shared" si="2"/>
        <v>76125</v>
      </c>
    </row>
    <row r="10" spans="1:17" ht="16">
      <c r="B10" s="56"/>
      <c r="C10" s="56" t="s">
        <v>40</v>
      </c>
      <c r="D10" s="57" t="s">
        <v>41</v>
      </c>
      <c r="E10" s="58" t="s">
        <v>91</v>
      </c>
      <c r="F10" s="59">
        <f>0.3</f>
        <v>0.3</v>
      </c>
      <c r="G10" s="60">
        <f>Ayudante</f>
        <v>5638.8888888888887</v>
      </c>
      <c r="H10" s="61">
        <f t="shared" si="0"/>
        <v>1691.6669999999999</v>
      </c>
      <c r="J10" s="75">
        <f t="shared" si="1"/>
        <v>10.5</v>
      </c>
      <c r="K10" s="67">
        <f t="shared" si="2"/>
        <v>59208.344999999994</v>
      </c>
    </row>
    <row r="11" spans="1:17" ht="16">
      <c r="B11" s="56"/>
      <c r="C11" s="56" t="s">
        <v>54</v>
      </c>
      <c r="D11" s="57" t="s">
        <v>42</v>
      </c>
      <c r="E11" s="58" t="s">
        <v>55</v>
      </c>
      <c r="F11" s="59">
        <v>0.2</v>
      </c>
      <c r="G11" s="60">
        <f>SUM(H9:H10)</f>
        <v>3866.6669999999999</v>
      </c>
      <c r="H11" s="61">
        <f>ROUND(F11*G11,3)</f>
        <v>773.33299999999997</v>
      </c>
      <c r="J11" s="75">
        <f>F11*$F$4</f>
        <v>7</v>
      </c>
      <c r="K11" s="67">
        <f>H11*$F$4</f>
        <v>27066.654999999999</v>
      </c>
    </row>
    <row r="12" spans="1:17" ht="16">
      <c r="B12" s="62"/>
      <c r="C12" s="62"/>
      <c r="D12" s="63"/>
      <c r="E12" s="64" t="s">
        <v>394</v>
      </c>
      <c r="F12" s="120">
        <f>$F$4</f>
        <v>35</v>
      </c>
      <c r="G12" s="65">
        <f>SUM(H5:H11)</f>
        <v>16475.795999999998</v>
      </c>
      <c r="H12" s="65">
        <f t="shared" si="0"/>
        <v>576652.86</v>
      </c>
      <c r="K12" s="76">
        <f>SUM(K5:K11)</f>
        <v>576652.86</v>
      </c>
    </row>
    <row r="14" spans="1:17">
      <c r="C14" s="66"/>
    </row>
  </sheetData>
  <dataValidations count="1">
    <dataValidation type="list" allowBlank="1" showErrorMessage="1" sqref="C12 C4" xr:uid="{1EC2681A-883A-4C78-9854-D7C0904CA822}">
      <formula1>"Capítulo,Partida,Mano de obra,Maquinaria,Material,Otros,Tarea"</formula1>
    </dataValidation>
  </dataValidations>
  <hyperlinks>
    <hyperlink ref="B1" location="'01.- Presupuesto'!A1" display="02.- Presupuesto'!A1" xr:uid="{6BEC313C-BCE7-FF42-ADD7-A0028490373D}"/>
  </hyperlinks>
  <pageMargins left="0.7" right="0.7" top="0.75" bottom="0.75" header="0.3" footer="0.3"/>
  <pageSetup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571D-8594-492F-B01D-BDF2B6061EB6}">
  <sheetPr>
    <tabColor theme="9" tint="0.59999389629810485"/>
  </sheetPr>
  <dimension ref="A1:Q10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10.1640625" bestFit="1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119</v>
      </c>
      <c r="C4" s="53" t="s">
        <v>36</v>
      </c>
      <c r="D4" s="148" t="str">
        <f>'01.- Presupuesto'!F44</f>
        <v>kg</v>
      </c>
      <c r="E4" s="149" t="str">
        <f>'01.- Presupuesto'!C44</f>
        <v>Suministro e instalación armadura A630-420H, diámetro 12mm</v>
      </c>
      <c r="F4" s="73">
        <f>'01.- Presupuesto'!G44</f>
        <v>1963.7849999999999</v>
      </c>
      <c r="G4" s="55">
        <f>G8</f>
        <v>1644.3330000000001</v>
      </c>
      <c r="H4" s="55">
        <f>H8</f>
        <v>3229116.48</v>
      </c>
      <c r="J4" s="74" t="s">
        <v>30</v>
      </c>
      <c r="K4" s="74" t="s">
        <v>37</v>
      </c>
      <c r="M4" s="70">
        <f>SUMIF(C5:C20,"Material",K5:K20)</f>
        <v>2050845.4804049998</v>
      </c>
      <c r="N4" s="70">
        <f>SUMIF(C5:C20,"Mano de Obra",K5:K20)</f>
        <v>0</v>
      </c>
      <c r="O4" s="70">
        <f>SUMIF(C5:C20,"Subcontrato",K5:K20)</f>
        <v>1178271</v>
      </c>
      <c r="P4" s="70">
        <f>SUMIF(C5:C20,"Ser&amp;Arr",K5:K20)</f>
        <v>0</v>
      </c>
      <c r="Q4" s="71">
        <f>SUM(M4:P4)</f>
        <v>3229116.480405</v>
      </c>
    </row>
    <row r="5" spans="1:17" ht="16">
      <c r="B5" s="56"/>
      <c r="C5" s="56" t="s">
        <v>38</v>
      </c>
      <c r="D5" s="57" t="s">
        <v>396</v>
      </c>
      <c r="E5" s="58" t="s">
        <v>395</v>
      </c>
      <c r="F5" s="59">
        <v>1.1000000000000001</v>
      </c>
      <c r="G5" s="60">
        <v>900</v>
      </c>
      <c r="H5" s="61">
        <f t="shared" ref="H5:H8" si="0">ROUND(F5*G5,3)</f>
        <v>990</v>
      </c>
      <c r="J5" s="75">
        <f>F5*$F$4</f>
        <v>2160.1635000000001</v>
      </c>
      <c r="K5" s="67">
        <f>H5*$F$4</f>
        <v>1944147.15</v>
      </c>
    </row>
    <row r="6" spans="1:17" ht="16">
      <c r="B6" s="56"/>
      <c r="C6" s="56" t="s">
        <v>38</v>
      </c>
      <c r="D6" s="57" t="s">
        <v>396</v>
      </c>
      <c r="E6" s="58" t="s">
        <v>397</v>
      </c>
      <c r="F6" s="59">
        <f>1/30</f>
        <v>3.3333333333333333E-2</v>
      </c>
      <c r="G6" s="60">
        <v>1630</v>
      </c>
      <c r="H6" s="61">
        <f t="shared" si="0"/>
        <v>54.332999999999998</v>
      </c>
      <c r="J6" s="75">
        <f t="shared" ref="J6:J7" si="1">F6*$F$4</f>
        <v>65.459499999999991</v>
      </c>
      <c r="K6" s="67">
        <f t="shared" ref="K6:K7" si="2">H6*$F$4</f>
        <v>106698.33040499999</v>
      </c>
    </row>
    <row r="7" spans="1:17" ht="16">
      <c r="B7" s="56"/>
      <c r="C7" s="56" t="s">
        <v>94</v>
      </c>
      <c r="D7" s="57" t="s">
        <v>396</v>
      </c>
      <c r="E7" s="58" t="s">
        <v>482</v>
      </c>
      <c r="F7" s="59">
        <v>1</v>
      </c>
      <c r="G7" s="60">
        <f>Enf</f>
        <v>600</v>
      </c>
      <c r="H7" s="61">
        <f t="shared" si="0"/>
        <v>600</v>
      </c>
      <c r="J7" s="75">
        <f t="shared" si="1"/>
        <v>1963.7849999999999</v>
      </c>
      <c r="K7" s="67">
        <f t="shared" si="2"/>
        <v>1178271</v>
      </c>
    </row>
    <row r="8" spans="1:17" ht="16">
      <c r="B8" s="62"/>
      <c r="C8" s="62"/>
      <c r="D8" s="63"/>
      <c r="E8" s="64" t="s">
        <v>398</v>
      </c>
      <c r="F8" s="120">
        <f>$F$4</f>
        <v>1963.7849999999999</v>
      </c>
      <c r="G8" s="65">
        <f>SUM(H5:H7)</f>
        <v>1644.3330000000001</v>
      </c>
      <c r="H8" s="65">
        <f t="shared" si="0"/>
        <v>3229116.48</v>
      </c>
      <c r="K8" s="76">
        <f>SUM(K5:K7)</f>
        <v>3229116.480405</v>
      </c>
    </row>
    <row r="10" spans="1:17">
      <c r="C10" s="66"/>
    </row>
  </sheetData>
  <dataValidations count="1">
    <dataValidation type="list" allowBlank="1" showErrorMessage="1" sqref="C8 C4" xr:uid="{28BBC059-6A22-4E18-ABE2-9630DB0124EC}">
      <formula1>"Capítulo,Partida,Mano de obra,Maquinaria,Material,Otros,Tarea"</formula1>
    </dataValidation>
  </dataValidations>
  <hyperlinks>
    <hyperlink ref="B1" location="'01.- Presupuesto'!A1" display="02.- Presupuesto'!A1" xr:uid="{A5B91C28-017D-0140-9BDF-E1096E58C3A4}"/>
  </hyperlinks>
  <pageMargins left="0.7" right="0.7" top="0.75" bottom="0.75" header="0.3" footer="0.3"/>
  <pageSetup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D0E-4F68-480C-A85F-09A83D2BCB61}">
  <sheetPr>
    <tabColor theme="9" tint="0.59999389629810485"/>
  </sheetPr>
  <dimension ref="A1:Q11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120</v>
      </c>
      <c r="C4" s="53" t="s">
        <v>36</v>
      </c>
      <c r="D4" s="148" t="str">
        <f>'01.- Presupuesto'!F45</f>
        <v>un</v>
      </c>
      <c r="E4" s="149" t="str">
        <f>'01.- Presupuesto'!C45</f>
        <v>Suministro e instalación de pernos de anclaje químico</v>
      </c>
      <c r="F4" s="73">
        <f>'01.- Presupuesto'!G45</f>
        <v>280</v>
      </c>
      <c r="G4" s="55">
        <f>G9</f>
        <v>11342.214</v>
      </c>
      <c r="H4" s="55">
        <f>H9</f>
        <v>3175819.92</v>
      </c>
      <c r="J4" s="74" t="s">
        <v>30</v>
      </c>
      <c r="K4" s="74" t="s">
        <v>37</v>
      </c>
      <c r="M4" s="70">
        <f>SUMIF(C5:C21,"Material",K5:K21)</f>
        <v>2769819.92</v>
      </c>
      <c r="N4" s="70">
        <f>SUMIF(C5:C21,"Mano de Obra",K5:K21)</f>
        <v>338333.24000000005</v>
      </c>
      <c r="O4" s="70">
        <f>SUMIF(C5:C21,"Subcontrato",K5:K21)</f>
        <v>0</v>
      </c>
      <c r="P4" s="70">
        <f>SUMIF(C5:C21,"Ser&amp;Arr",K5:K21)</f>
        <v>67666.759999999995</v>
      </c>
      <c r="Q4" s="71">
        <f>SUM(M4:P4)</f>
        <v>3175819.92</v>
      </c>
    </row>
    <row r="5" spans="1:17" ht="16">
      <c r="B5" s="56"/>
      <c r="C5" s="56" t="s">
        <v>38</v>
      </c>
      <c r="D5" s="57" t="s">
        <v>39</v>
      </c>
      <c r="E5" s="58" t="s">
        <v>435</v>
      </c>
      <c r="F5" s="59">
        <v>1</v>
      </c>
      <c r="G5" s="60">
        <v>9600</v>
      </c>
      <c r="H5" s="61">
        <f t="shared" ref="H5:H9" si="0">ROUND(F5*G5,3)</f>
        <v>9600</v>
      </c>
      <c r="J5" s="75">
        <f>F5*$F$4</f>
        <v>280</v>
      </c>
      <c r="K5" s="67">
        <f>H5*$F$4</f>
        <v>2688000</v>
      </c>
    </row>
    <row r="6" spans="1:17" ht="16">
      <c r="B6" s="56"/>
      <c r="C6" s="56" t="s">
        <v>38</v>
      </c>
      <c r="D6" s="57" t="s">
        <v>39</v>
      </c>
      <c r="E6" s="58" t="s">
        <v>433</v>
      </c>
      <c r="F6" s="59">
        <f>1.1*1/49</f>
        <v>2.2448979591836737E-2</v>
      </c>
      <c r="G6" s="60">
        <f>15490/1.19</f>
        <v>13016.806722689076</v>
      </c>
      <c r="H6" s="61">
        <f t="shared" si="0"/>
        <v>292.214</v>
      </c>
      <c r="J6" s="75">
        <f t="shared" ref="J6:J7" si="1">F6*$F$4</f>
        <v>6.2857142857142865</v>
      </c>
      <c r="K6" s="67">
        <f t="shared" ref="K6:K7" si="2">H6*$F$4</f>
        <v>81819.92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1/6</f>
        <v>0.16666666666666666</v>
      </c>
      <c r="G7" s="60">
        <f>Maestro</f>
        <v>7250</v>
      </c>
      <c r="H7" s="61">
        <f t="shared" si="0"/>
        <v>1208.3330000000001</v>
      </c>
      <c r="J7" s="75">
        <f t="shared" si="1"/>
        <v>46.666666666666664</v>
      </c>
      <c r="K7" s="67">
        <f t="shared" si="2"/>
        <v>338333.24000000005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SUM(H7:H7)</f>
        <v>1208.3330000000001</v>
      </c>
      <c r="H8" s="61">
        <f>ROUND(F8*G8,3)</f>
        <v>241.667</v>
      </c>
      <c r="J8" s="75">
        <f>F8*$F$4</f>
        <v>56</v>
      </c>
      <c r="K8" s="67">
        <f>H8*$F$4</f>
        <v>67666.759999999995</v>
      </c>
    </row>
    <row r="9" spans="1:17" ht="16">
      <c r="B9" s="62"/>
      <c r="C9" s="62"/>
      <c r="D9" s="63"/>
      <c r="E9" s="64" t="s">
        <v>434</v>
      </c>
      <c r="F9" s="120">
        <f>$F$4</f>
        <v>280</v>
      </c>
      <c r="G9" s="65">
        <f>SUM(H5:H8)</f>
        <v>11342.214</v>
      </c>
      <c r="H9" s="65">
        <f t="shared" si="0"/>
        <v>3175819.92</v>
      </c>
      <c r="K9" s="76">
        <f>SUM(K5:K8)</f>
        <v>3175819.92</v>
      </c>
    </row>
    <row r="11" spans="1:17">
      <c r="C11" s="66"/>
    </row>
  </sheetData>
  <dataValidations count="1">
    <dataValidation type="list" allowBlank="1" showErrorMessage="1" sqref="C9 C4" xr:uid="{55A28697-E260-4824-9FA6-A799B9B36FAA}">
      <formula1>"Capítulo,Partida,Mano de obra,Maquinaria,Material,Otros,Tarea"</formula1>
    </dataValidation>
  </dataValidations>
  <hyperlinks>
    <hyperlink ref="B1" location="'01.- Presupuesto'!A1" display="02.- Presupuesto'!A1" xr:uid="{6F96E251-A06D-6649-9811-3A6D0D1290F2}"/>
  </hyperlinks>
  <pageMargins left="0.7" right="0.7" top="0.75" bottom="0.75" header="0.3" footer="0.3"/>
  <pageSetup orientation="portrait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9FEF-ED06-4744-9BC5-F2621DE9B9B5}">
  <sheetPr>
    <tabColor theme="9" tint="0.59999389629810485"/>
  </sheetPr>
  <dimension ref="A1:Q15"/>
  <sheetViews>
    <sheetView showGridLines="0" topLeftCell="A2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66</v>
      </c>
      <c r="C4" s="53" t="s">
        <v>36</v>
      </c>
      <c r="D4" s="148" t="str">
        <f>'01.- Presupuesto'!F47</f>
        <v>m3</v>
      </c>
      <c r="E4" s="149" t="str">
        <f>'01.- Presupuesto'!C47</f>
        <v>Suministro e Instalación Hormigón G20(10)20-8</v>
      </c>
      <c r="F4" s="73">
        <f>'01.- Presupuesto'!G47</f>
        <v>20</v>
      </c>
      <c r="G4" s="55">
        <f>G13</f>
        <v>137616.83400000003</v>
      </c>
      <c r="H4" s="55">
        <f>H13</f>
        <v>2752336.68</v>
      </c>
      <c r="J4" s="74" t="s">
        <v>30</v>
      </c>
      <c r="K4" s="74" t="s">
        <v>37</v>
      </c>
      <c r="M4" s="70">
        <f>SUMIF(C5:C25,"Material",K5:K25)</f>
        <v>2408292.2399999998</v>
      </c>
      <c r="N4" s="70">
        <f>SUMIF(C5:C25,"Mano de Obra",K5:K25)</f>
        <v>192259.26</v>
      </c>
      <c r="O4" s="70">
        <f>SUMIF(C5:C25,"Subcontrato",K5:K25)</f>
        <v>0</v>
      </c>
      <c r="P4" s="70">
        <f>SUMIF(C5:C25,"Ser&amp;Arr",K5:K25)</f>
        <v>151785.18</v>
      </c>
      <c r="Q4" s="71">
        <f>SUM(M4:P4)</f>
        <v>2752336.68</v>
      </c>
    </row>
    <row r="5" spans="1:17" ht="16">
      <c r="B5" s="56"/>
      <c r="C5" s="56" t="s">
        <v>38</v>
      </c>
      <c r="D5" s="57" t="s">
        <v>67</v>
      </c>
      <c r="E5" s="58" t="s">
        <v>382</v>
      </c>
      <c r="F5" s="59">
        <v>1.1000000000000001</v>
      </c>
      <c r="G5" s="60">
        <f>HormG20</f>
        <v>108376.92</v>
      </c>
      <c r="H5" s="61">
        <f t="shared" ref="H5:H8" si="0">ROUND(F5*G5,3)</f>
        <v>119214.61199999999</v>
      </c>
      <c r="J5" s="75">
        <f>F5*$F$4</f>
        <v>22</v>
      </c>
      <c r="K5" s="67">
        <f>H5*$F$4</f>
        <v>2384292.2399999998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10" si="1">F6*$F$4</f>
        <v>2</v>
      </c>
      <c r="K6" s="67">
        <f t="shared" ref="K6:K10" si="2">H6*$F$4</f>
        <v>24000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</f>
        <v>0.33333333333333331</v>
      </c>
      <c r="G7" s="60">
        <f>Maestro</f>
        <v>7250</v>
      </c>
      <c r="H7" s="61">
        <f t="shared" si="0"/>
        <v>2416.6669999999999</v>
      </c>
      <c r="J7" s="75">
        <f t="shared" si="1"/>
        <v>6.6666666666666661</v>
      </c>
      <c r="K7" s="67">
        <f t="shared" si="2"/>
        <v>48333.34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</f>
        <v>1.3333333333333333</v>
      </c>
      <c r="G8" s="60">
        <f>Jornal</f>
        <v>5397.2222222222226</v>
      </c>
      <c r="H8" s="61">
        <f t="shared" si="0"/>
        <v>7196.2960000000003</v>
      </c>
      <c r="J8" s="75">
        <f t="shared" si="1"/>
        <v>26.666666666666664</v>
      </c>
      <c r="K8" s="67">
        <f t="shared" si="2"/>
        <v>143925.92000000001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9612.9629999999997</v>
      </c>
      <c r="H9" s="61">
        <f>ROUND(F9*G9,3)</f>
        <v>1922.5930000000001</v>
      </c>
      <c r="J9" s="75">
        <f t="shared" si="1"/>
        <v>4</v>
      </c>
      <c r="K9" s="67">
        <f t="shared" si="2"/>
        <v>38451.86</v>
      </c>
    </row>
    <row r="10" spans="1:17" ht="16">
      <c r="B10" s="56"/>
      <c r="C10" s="56" t="s">
        <v>54</v>
      </c>
      <c r="D10" s="57" t="s">
        <v>71</v>
      </c>
      <c r="E10" s="58" t="s">
        <v>372</v>
      </c>
      <c r="F10" s="59">
        <f>1/3</f>
        <v>0.33333333333333331</v>
      </c>
      <c r="G10" s="60">
        <f>3500+3500</f>
        <v>7000</v>
      </c>
      <c r="H10" s="61">
        <f>ROUND(F10*G10,3)</f>
        <v>2333.3330000000001</v>
      </c>
      <c r="J10" s="75">
        <f t="shared" si="1"/>
        <v>6.6666666666666661</v>
      </c>
      <c r="K10" s="67">
        <f t="shared" si="2"/>
        <v>46666.66</v>
      </c>
    </row>
    <row r="11" spans="1:17" ht="16">
      <c r="B11" s="56"/>
      <c r="C11" s="56" t="s">
        <v>54</v>
      </c>
      <c r="D11" s="57" t="s">
        <v>71</v>
      </c>
      <c r="E11" s="58" t="s">
        <v>373</v>
      </c>
      <c r="F11" s="59">
        <f>1/3</f>
        <v>0.33333333333333331</v>
      </c>
      <c r="G11" s="60">
        <f>3500+3500</f>
        <v>7000</v>
      </c>
      <c r="H11" s="61">
        <f>ROUND(F11*G11,3)</f>
        <v>2333.3330000000001</v>
      </c>
      <c r="J11" s="75">
        <f>F11*$F$4</f>
        <v>6.6666666666666661</v>
      </c>
      <c r="K11" s="67">
        <f>H11*$F$4</f>
        <v>46666.66</v>
      </c>
    </row>
    <row r="12" spans="1:17" ht="16">
      <c r="B12" s="56"/>
      <c r="C12" s="56" t="s">
        <v>54</v>
      </c>
      <c r="D12" s="57" t="s">
        <v>76</v>
      </c>
      <c r="E12" s="58" t="s">
        <v>368</v>
      </c>
      <c r="F12" s="59">
        <f>1/50</f>
        <v>0.02</v>
      </c>
      <c r="G12" s="60">
        <v>50000</v>
      </c>
      <c r="H12" s="61">
        <f>ROUND(F12*G12,3)</f>
        <v>1000</v>
      </c>
      <c r="J12" s="75">
        <f>F12*$F$4</f>
        <v>0.4</v>
      </c>
      <c r="K12" s="67">
        <f>H12*$F$4</f>
        <v>20000</v>
      </c>
    </row>
    <row r="13" spans="1:17" ht="16">
      <c r="B13" s="62"/>
      <c r="C13" s="62"/>
      <c r="D13" s="63"/>
      <c r="E13" s="64" t="s">
        <v>399</v>
      </c>
      <c r="F13" s="120">
        <f>$F$4</f>
        <v>20</v>
      </c>
      <c r="G13" s="65">
        <f>SUM(H5:H12)</f>
        <v>137616.83400000003</v>
      </c>
      <c r="H13" s="65">
        <f t="shared" ref="H13" si="3">ROUND(F13*G13,3)</f>
        <v>2752336.68</v>
      </c>
      <c r="K13" s="76">
        <f>SUM(K5:K12)</f>
        <v>2752336.6799999997</v>
      </c>
    </row>
    <row r="15" spans="1:17">
      <c r="C15" s="66"/>
    </row>
  </sheetData>
  <dataValidations disablePrompts="1" count="1">
    <dataValidation type="list" allowBlank="1" showErrorMessage="1" sqref="C13 C4" xr:uid="{9AEEB80F-ED93-488B-98A3-6DB4C2488760}">
      <formula1>"Capítulo,Partida,Mano de obra,Maquinaria,Material,Otros,Tarea"</formula1>
    </dataValidation>
  </dataValidations>
  <hyperlinks>
    <hyperlink ref="B1" location="'01.- Presupuesto'!A1" display="02.- Presupuesto'!A1" xr:uid="{E26625E7-FFF0-5040-9ADC-0E09DA3073E1}"/>
  </hyperlinks>
  <pageMargins left="0.7" right="0.7" top="0.75" bottom="0.75" header="0.3" footer="0.3"/>
  <pageSetup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CD27-DEE7-49F9-87B4-42BFEC8F3218}">
  <sheetPr>
    <tabColor theme="9" tint="0.59999389629810485"/>
  </sheetPr>
  <dimension ref="A1:Q12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84</v>
      </c>
      <c r="C4" s="53" t="s">
        <v>36</v>
      </c>
      <c r="D4" s="148" t="str">
        <f>'01.- Presupuesto'!F48</f>
        <v>m3</v>
      </c>
      <c r="E4" s="149" t="str">
        <f>'01.- Presupuesto'!C48</f>
        <v>Suministro e instalación emplantillado hormigón G5</v>
      </c>
      <c r="F4" s="73">
        <f>'01.- Presupuesto'!G48</f>
        <v>2.5</v>
      </c>
      <c r="G4" s="55">
        <f>G10</f>
        <v>120719.806</v>
      </c>
      <c r="H4" s="55">
        <f>H10</f>
        <v>301799.51500000001</v>
      </c>
      <c r="J4" s="74" t="s">
        <v>30</v>
      </c>
      <c r="K4" s="74" t="s">
        <v>37</v>
      </c>
      <c r="M4" s="70">
        <f>SUMIF(C5:C22,"Material",K5:K22)</f>
        <v>272960.625</v>
      </c>
      <c r="N4" s="70">
        <f>SUMIF(C5:C22,"Mano de Obra",K5:K22)</f>
        <v>24032.407500000001</v>
      </c>
      <c r="O4" s="70">
        <f>SUMIF(C5:C22,"Subcontrato",K5:K22)</f>
        <v>0</v>
      </c>
      <c r="P4" s="70">
        <f>SUMIF(C5:C22,"Ser&amp;Arr",K5:K22)</f>
        <v>4806.4825000000001</v>
      </c>
      <c r="Q4" s="71">
        <f>SUM(M4:P4)</f>
        <v>301799.51499999996</v>
      </c>
    </row>
    <row r="5" spans="1:17" ht="16">
      <c r="B5" s="56"/>
      <c r="C5" s="56" t="s">
        <v>38</v>
      </c>
      <c r="D5" s="57" t="s">
        <v>67</v>
      </c>
      <c r="E5" s="58" t="s">
        <v>383</v>
      </c>
      <c r="F5" s="59">
        <v>1.1000000000000001</v>
      </c>
      <c r="G5" s="60">
        <f>HormG5</f>
        <v>98167.5</v>
      </c>
      <c r="H5" s="61">
        <f t="shared" ref="H5:H8" si="0">ROUND(F5*G5,3)</f>
        <v>107984.25</v>
      </c>
      <c r="J5" s="75">
        <f>F5*$F$4</f>
        <v>2.75</v>
      </c>
      <c r="K5" s="67">
        <f>H5*$F$4</f>
        <v>269960.625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9" si="1">F6*$F$4</f>
        <v>0.25</v>
      </c>
      <c r="K6" s="67">
        <f t="shared" ref="K6:K9" si="2">H6*$F$4</f>
        <v>3000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</f>
        <v>0.33333333333333331</v>
      </c>
      <c r="G7" s="60">
        <f>Maestro</f>
        <v>7250</v>
      </c>
      <c r="H7" s="61">
        <f t="shared" si="0"/>
        <v>2416.6669999999999</v>
      </c>
      <c r="J7" s="75">
        <f t="shared" si="1"/>
        <v>0.83333333333333326</v>
      </c>
      <c r="K7" s="67">
        <f t="shared" si="2"/>
        <v>6041.6674999999996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</f>
        <v>1.3333333333333333</v>
      </c>
      <c r="G8" s="60">
        <f>Jornal</f>
        <v>5397.2222222222226</v>
      </c>
      <c r="H8" s="61">
        <f t="shared" si="0"/>
        <v>7196.2960000000003</v>
      </c>
      <c r="J8" s="75">
        <f t="shared" si="1"/>
        <v>3.333333333333333</v>
      </c>
      <c r="K8" s="67">
        <f t="shared" si="2"/>
        <v>17990.740000000002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9612.9629999999997</v>
      </c>
      <c r="H9" s="61">
        <f>ROUND(F9*G9,3)</f>
        <v>1922.5930000000001</v>
      </c>
      <c r="J9" s="75">
        <f t="shared" si="1"/>
        <v>0.5</v>
      </c>
      <c r="K9" s="67">
        <f t="shared" si="2"/>
        <v>4806.4825000000001</v>
      </c>
    </row>
    <row r="10" spans="1:17" ht="16">
      <c r="B10" s="62"/>
      <c r="C10" s="62"/>
      <c r="D10" s="63"/>
      <c r="E10" s="64" t="s">
        <v>400</v>
      </c>
      <c r="F10" s="120">
        <f>$F$4</f>
        <v>2.5</v>
      </c>
      <c r="G10" s="65">
        <f>SUM(H5:H9)</f>
        <v>120719.806</v>
      </c>
      <c r="H10" s="65">
        <f t="shared" ref="H10" si="3">ROUND(F10*G10,3)</f>
        <v>301799.51500000001</v>
      </c>
      <c r="K10" s="76">
        <f>SUM(K5:K9)</f>
        <v>301799.51499999996</v>
      </c>
    </row>
    <row r="12" spans="1:17">
      <c r="C12" s="66"/>
    </row>
  </sheetData>
  <dataValidations count="1">
    <dataValidation type="list" allowBlank="1" showErrorMessage="1" sqref="C10 C4" xr:uid="{3A4B4B9D-6778-4C31-9BB8-492F5582A2B4}">
      <formula1>"Capítulo,Partida,Mano de obra,Maquinaria,Material,Otros,Tarea"</formula1>
    </dataValidation>
  </dataValidations>
  <hyperlinks>
    <hyperlink ref="B1" location="'01.- Presupuesto'!A1" display="02.- Presupuesto'!A1" xr:uid="{B8B46156-69B0-EA40-835E-B7846DF4D417}"/>
  </hyperlinks>
  <pageMargins left="0.7" right="0.7" top="0.75" bottom="0.75" header="0.3" footer="0.3"/>
  <pageSetup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9F1C8-BE89-4566-AEEC-138E364A24D3}">
  <sheetPr>
    <tabColor theme="9" tint="0.59999389629810485"/>
  </sheetPr>
  <dimension ref="A1:Q11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136</v>
      </c>
      <c r="C4" s="53" t="s">
        <v>36</v>
      </c>
      <c r="D4" s="148" t="str">
        <f>'01.- Presupuesto'!F54</f>
        <v>kg</v>
      </c>
      <c r="E4" s="149" t="str">
        <f>'01.- Presupuesto'!C54</f>
        <v>Suministro e instalación enfierradura malla acma C-188</v>
      </c>
      <c r="F4" s="73">
        <f>'01.- Presupuesto'!G54</f>
        <v>180</v>
      </c>
      <c r="G4" s="55">
        <f>G9</f>
        <v>2586.7730000000001</v>
      </c>
      <c r="H4" s="55">
        <f>H9</f>
        <v>465619.14</v>
      </c>
      <c r="J4" s="74" t="s">
        <v>30</v>
      </c>
      <c r="K4" s="74" t="s">
        <v>37</v>
      </c>
      <c r="M4" s="70">
        <f>SUMIF(C5:C21,"Material",K5:K21)</f>
        <v>257979.06000000003</v>
      </c>
      <c r="N4" s="70">
        <f>SUMIF(C5:C21,"Mano de Obra",K5:K21)</f>
        <v>173033.46</v>
      </c>
      <c r="O4" s="70">
        <f>SUMIF(C5:C21,"Subcontrato",K5:K21)</f>
        <v>0</v>
      </c>
      <c r="P4" s="70">
        <f>SUMIF(C5:C21,"Ser&amp;Arr",K5:K21)</f>
        <v>34606.619999999995</v>
      </c>
      <c r="Q4" s="71">
        <f>SUM(M4:P4)</f>
        <v>465619.14</v>
      </c>
    </row>
    <row r="5" spans="1:17" ht="16">
      <c r="B5" s="56"/>
      <c r="C5" s="56" t="s">
        <v>38</v>
      </c>
      <c r="D5" s="57" t="s">
        <v>39</v>
      </c>
      <c r="E5" s="58" t="s">
        <v>447</v>
      </c>
      <c r="F5" s="59">
        <f>1.05*1/30.03</f>
        <v>3.4965034965034968E-2</v>
      </c>
      <c r="G5" s="60">
        <v>40990</v>
      </c>
      <c r="H5" s="61">
        <f t="shared" ref="H5:H9" si="0">ROUND(F5*G5,3)</f>
        <v>1433.2170000000001</v>
      </c>
      <c r="J5" s="75">
        <f>F5*$F$4</f>
        <v>6.2937062937062942</v>
      </c>
      <c r="K5" s="67">
        <f>H5*$F$4</f>
        <v>257979.06000000003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1/30</f>
        <v>3.3333333333333333E-2</v>
      </c>
      <c r="G6" s="60">
        <f>Maestro</f>
        <v>7250</v>
      </c>
      <c r="H6" s="61">
        <f t="shared" si="0"/>
        <v>241.667</v>
      </c>
      <c r="J6" s="75">
        <f t="shared" ref="J6:J7" si="1">F6*$F$4</f>
        <v>6</v>
      </c>
      <c r="K6" s="67">
        <f t="shared" ref="K6:K7" si="2">H6*$F$4</f>
        <v>43500.06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4/30</f>
        <v>0.13333333333333333</v>
      </c>
      <c r="G7" s="60">
        <f>Jornal</f>
        <v>5397.2222222222226</v>
      </c>
      <c r="H7" s="61">
        <f t="shared" si="0"/>
        <v>719.63</v>
      </c>
      <c r="J7" s="75">
        <f t="shared" si="1"/>
        <v>24</v>
      </c>
      <c r="K7" s="67">
        <f t="shared" si="2"/>
        <v>129533.4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961.29700000000003</v>
      </c>
      <c r="H8" s="61">
        <f>ROUND(F8*G8,3)</f>
        <v>192.25899999999999</v>
      </c>
      <c r="J8" s="75">
        <f>F8*$F$4</f>
        <v>36</v>
      </c>
      <c r="K8" s="67">
        <f>H8*$F$4</f>
        <v>34606.619999999995</v>
      </c>
    </row>
    <row r="9" spans="1:17" ht="16">
      <c r="B9" s="62"/>
      <c r="C9" s="62"/>
      <c r="D9" s="63"/>
      <c r="E9" s="64" t="s">
        <v>448</v>
      </c>
      <c r="F9" s="120">
        <f>$F$4</f>
        <v>180</v>
      </c>
      <c r="G9" s="65">
        <f>SUM(H5:H8)</f>
        <v>2586.7730000000001</v>
      </c>
      <c r="H9" s="65">
        <f t="shared" si="0"/>
        <v>465619.14</v>
      </c>
      <c r="K9" s="76">
        <f>SUM(K5:K8)</f>
        <v>465619.14</v>
      </c>
    </row>
    <row r="11" spans="1:17">
      <c r="C11" s="66"/>
    </row>
  </sheetData>
  <dataValidations count="1">
    <dataValidation type="list" allowBlank="1" showErrorMessage="1" sqref="C9 C4" xr:uid="{A2559FC4-8E07-423A-878F-37BBB3E52338}">
      <formula1>"Capítulo,Partida,Mano de obra,Maquinaria,Material,Otros,Tarea"</formula1>
    </dataValidation>
  </dataValidations>
  <hyperlinks>
    <hyperlink ref="B1" location="'01.- Presupuesto'!A1" display="02.- Presupuesto'!A1" xr:uid="{0CF395E5-9C83-1E47-AD64-7266DD1AE081}"/>
  </hyperlinks>
  <pageMargins left="0.7" right="0.7" top="0.75" bottom="0.75" header="0.3" footer="0.3"/>
  <pageSetup orientation="portrait" horizontalDpi="0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1E83-EF14-4862-B256-E9D010545AD6}">
  <sheetPr>
    <tabColor theme="9" tint="0.59999389629810485"/>
  </sheetPr>
  <dimension ref="A1:Q15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85</v>
      </c>
      <c r="C4" s="53" t="s">
        <v>36</v>
      </c>
      <c r="D4" s="148" t="str">
        <f>'01.- Presupuesto'!F49</f>
        <v>m3</v>
      </c>
      <c r="E4" s="149" t="str">
        <f>'01.- Presupuesto'!C49</f>
        <v>Suministro e Instalación relleno estructural compactado al 95% DMSC</v>
      </c>
      <c r="F4" s="73">
        <f>'01.- Presupuesto'!G49</f>
        <v>24.377500000000005</v>
      </c>
      <c r="G4" s="55">
        <f>G13</f>
        <v>46609.265999999996</v>
      </c>
      <c r="H4" s="55">
        <f>H13</f>
        <v>1136217.382</v>
      </c>
      <c r="J4" s="74" t="s">
        <v>30</v>
      </c>
      <c r="K4" s="74" t="s">
        <v>37</v>
      </c>
      <c r="M4" s="70">
        <f>SUMIF(C5:C25,"Material",K5:K25)</f>
        <v>633815.00000000012</v>
      </c>
      <c r="N4" s="70">
        <f>SUMIF(C5:C25,"Mano de Obra",K5:K25)</f>
        <v>35150.989860000009</v>
      </c>
      <c r="O4" s="70">
        <f>SUMIF(C5:C25,"Subcontrato",K5:K25)</f>
        <v>0</v>
      </c>
      <c r="P4" s="70">
        <f>SUMIF(C5:C25,"Ser&amp;Arr",K5:K25)</f>
        <v>467251.39205500006</v>
      </c>
      <c r="Q4" s="71">
        <f>SUM(M4:P4)</f>
        <v>1136217.3819150003</v>
      </c>
    </row>
    <row r="5" spans="1:17" ht="16">
      <c r="B5" s="56"/>
      <c r="C5" s="56" t="s">
        <v>38</v>
      </c>
      <c r="D5" s="57" t="s">
        <v>67</v>
      </c>
      <c r="E5" s="58" t="s">
        <v>362</v>
      </c>
      <c r="F5" s="59">
        <v>1.3</v>
      </c>
      <c r="G5" s="60">
        <f>Base50</f>
        <v>20000</v>
      </c>
      <c r="H5" s="61">
        <f t="shared" ref="H5:H12" si="0">ROUND(F5*G5,3)</f>
        <v>26000</v>
      </c>
      <c r="J5" s="75">
        <f>F5*$F$4</f>
        <v>31.690750000000008</v>
      </c>
      <c r="K5" s="67">
        <f>H5*$F$4</f>
        <v>633815.00000000012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1/20</f>
        <v>0.05</v>
      </c>
      <c r="G6" s="60">
        <f>Maestro</f>
        <v>7250</v>
      </c>
      <c r="H6" s="61">
        <f t="shared" si="0"/>
        <v>362.5</v>
      </c>
      <c r="J6" s="75">
        <f t="shared" ref="J6:J10" si="1">F6*$F$4</f>
        <v>1.2188750000000004</v>
      </c>
      <c r="K6" s="67">
        <f t="shared" ref="K6:K10" si="2">H6*$F$4</f>
        <v>8836.8437500000018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4*1/20</f>
        <v>0.2</v>
      </c>
      <c r="G7" s="60">
        <f>Jornal</f>
        <v>5397.2222222222226</v>
      </c>
      <c r="H7" s="61">
        <f t="shared" si="0"/>
        <v>1079.444</v>
      </c>
      <c r="J7" s="75">
        <f t="shared" si="1"/>
        <v>4.8755000000000015</v>
      </c>
      <c r="K7" s="67">
        <f t="shared" si="2"/>
        <v>26314.146110000005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1441.944</v>
      </c>
      <c r="H8" s="61">
        <f>ROUND(F8*G8,3)</f>
        <v>288.38900000000001</v>
      </c>
      <c r="J8" s="75">
        <f t="shared" si="1"/>
        <v>4.8755000000000015</v>
      </c>
      <c r="K8" s="67">
        <f t="shared" si="2"/>
        <v>7030.2028475000016</v>
      </c>
    </row>
    <row r="9" spans="1:17" ht="16">
      <c r="B9" s="56"/>
      <c r="C9" s="56" t="s">
        <v>54</v>
      </c>
      <c r="D9" s="57" t="s">
        <v>348</v>
      </c>
      <c r="E9" s="58" t="s">
        <v>350</v>
      </c>
      <c r="F9" s="59">
        <f>1/20</f>
        <v>0.05</v>
      </c>
      <c r="G9" s="60">
        <f>Retroexcavadora</f>
        <v>32000</v>
      </c>
      <c r="H9" s="61">
        <f t="shared" si="0"/>
        <v>1600</v>
      </c>
      <c r="J9" s="75">
        <f t="shared" si="1"/>
        <v>1.2188750000000004</v>
      </c>
      <c r="K9" s="67">
        <f t="shared" si="2"/>
        <v>39004.000000000007</v>
      </c>
    </row>
    <row r="10" spans="1:17" ht="16">
      <c r="B10" s="56"/>
      <c r="C10" s="56" t="s">
        <v>54</v>
      </c>
      <c r="D10" s="57" t="s">
        <v>71</v>
      </c>
      <c r="E10" s="58" t="s">
        <v>385</v>
      </c>
      <c r="F10" s="59">
        <f>1/20/8</f>
        <v>6.2500000000000003E-3</v>
      </c>
      <c r="G10" s="60">
        <v>25000</v>
      </c>
      <c r="H10" s="61">
        <f t="shared" si="0"/>
        <v>156.25</v>
      </c>
      <c r="J10" s="75">
        <f t="shared" si="1"/>
        <v>0.15235937500000005</v>
      </c>
      <c r="K10" s="67">
        <f t="shared" si="2"/>
        <v>3808.9843750000009</v>
      </c>
    </row>
    <row r="11" spans="1:17" ht="16">
      <c r="B11" s="56"/>
      <c r="C11" s="56" t="s">
        <v>54</v>
      </c>
      <c r="D11" s="57" t="s">
        <v>76</v>
      </c>
      <c r="E11" s="58" t="s">
        <v>358</v>
      </c>
      <c r="F11" s="59">
        <f>1/F4</f>
        <v>4.1021433699107775E-2</v>
      </c>
      <c r="G11" s="60">
        <f>(0.6+4.4)*UF</f>
        <v>196335</v>
      </c>
      <c r="H11" s="61">
        <f t="shared" si="0"/>
        <v>8053.9430000000002</v>
      </c>
      <c r="J11" s="75">
        <f>F11*$F$4</f>
        <v>1</v>
      </c>
      <c r="K11" s="67">
        <f>H11*$F$4</f>
        <v>196334.99548250003</v>
      </c>
    </row>
    <row r="12" spans="1:17" ht="16">
      <c r="B12" s="56"/>
      <c r="C12" s="56" t="s">
        <v>54</v>
      </c>
      <c r="D12" s="57" t="s">
        <v>76</v>
      </c>
      <c r="E12" s="58" t="s">
        <v>386</v>
      </c>
      <c r="F12" s="59">
        <f>3/F4</f>
        <v>0.12306430109732333</v>
      </c>
      <c r="G12" s="60">
        <f>(0.41+4.4/3)*UF</f>
        <v>73691.070000000007</v>
      </c>
      <c r="H12" s="61">
        <f t="shared" si="0"/>
        <v>9068.74</v>
      </c>
      <c r="J12" s="75">
        <f>F12*$F$4</f>
        <v>3</v>
      </c>
      <c r="K12" s="67">
        <f>H12*$F$4</f>
        <v>221073.20935000005</v>
      </c>
    </row>
    <row r="13" spans="1:17" ht="16">
      <c r="B13" s="62"/>
      <c r="C13" s="62"/>
      <c r="D13" s="63"/>
      <c r="E13" s="64" t="s">
        <v>401</v>
      </c>
      <c r="F13" s="120">
        <f>$F$4</f>
        <v>24.377500000000005</v>
      </c>
      <c r="G13" s="65">
        <f>SUM(H5:H12)</f>
        <v>46609.265999999996</v>
      </c>
      <c r="H13" s="65">
        <f t="shared" ref="H13" si="3">ROUND(F13*G13,3)</f>
        <v>1136217.382</v>
      </c>
      <c r="K13" s="76">
        <f>SUM(K5:K12)</f>
        <v>1136217.3819150003</v>
      </c>
    </row>
    <row r="15" spans="1:17">
      <c r="C15" s="66"/>
    </row>
  </sheetData>
  <dataValidations count="1">
    <dataValidation type="list" allowBlank="1" showErrorMessage="1" sqref="C13 C4" xr:uid="{EDE3BACE-2BC6-4D35-B76D-06E18EA03CD1}">
      <formula1>"Capítulo,Partida,Mano de obra,Maquinaria,Material,Otros,Tarea"</formula1>
    </dataValidation>
  </dataValidations>
  <hyperlinks>
    <hyperlink ref="B1" location="'01.- Presupuesto'!A1" display="02.- Presupuesto'!A1" xr:uid="{F5041655-1913-E54E-B72D-E61ECE70FE96}"/>
  </hyperlinks>
  <pageMargins left="0.7" right="0.7" top="0.75" bottom="0.75" header="0.3" footer="0.3"/>
  <pageSetup orientation="portrait" horizontalDpi="0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BFC4-B94D-47A8-9250-E1D967D647D1}">
  <sheetPr>
    <tabColor theme="9" tint="0.59999389629810485"/>
  </sheetPr>
  <dimension ref="A1:Q11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132</v>
      </c>
      <c r="C4" s="53" t="s">
        <v>36</v>
      </c>
      <c r="D4" s="148" t="str">
        <f>'01.- Presupuesto'!F50</f>
        <v>m3</v>
      </c>
      <c r="E4" s="149" t="str">
        <f>'01.- Presupuesto'!C50</f>
        <v>Excavación maquinaría local y traslado a botadero, hasta 20 Km</v>
      </c>
      <c r="F4" s="73">
        <f>'01.- Presupuesto'!G50</f>
        <v>48.050000000000004</v>
      </c>
      <c r="G4" s="55">
        <f>G9</f>
        <v>25500</v>
      </c>
      <c r="H4" s="55">
        <f>H9</f>
        <v>1225275</v>
      </c>
      <c r="J4" s="74" t="s">
        <v>30</v>
      </c>
      <c r="K4" s="74" t="s">
        <v>37</v>
      </c>
      <c r="M4" s="70">
        <f>SUMIF(C5:C21,"Material",K5:K21)</f>
        <v>0</v>
      </c>
      <c r="N4" s="70">
        <f>SUMIF(C5:C21,"Mano de Obra",K5:K21)</f>
        <v>0</v>
      </c>
      <c r="O4" s="70">
        <f>SUMIF(C5:C21,"Subcontrato",K5:K21)</f>
        <v>0</v>
      </c>
      <c r="P4" s="70">
        <f>SUMIF(C5:C21,"Ser&amp;Arr",K5:K21)</f>
        <v>1225275</v>
      </c>
      <c r="Q4" s="71">
        <f>SUM(M4:P4)</f>
        <v>1225275</v>
      </c>
    </row>
    <row r="5" spans="1:17" ht="16">
      <c r="B5" s="56"/>
      <c r="C5" s="56" t="s">
        <v>54</v>
      </c>
      <c r="D5" s="57" t="s">
        <v>348</v>
      </c>
      <c r="E5" s="58" t="s">
        <v>353</v>
      </c>
      <c r="F5" s="59">
        <f>1/20</f>
        <v>0.05</v>
      </c>
      <c r="G5" s="60">
        <f>Excavadora</f>
        <v>50000</v>
      </c>
      <c r="H5" s="61">
        <f t="shared" ref="H5:H8" si="0">ROUND(F5*G5,3)</f>
        <v>2500</v>
      </c>
      <c r="J5" s="75">
        <f>F5*$F$4</f>
        <v>2.4025000000000003</v>
      </c>
      <c r="K5" s="67">
        <f>H5*$F$4</f>
        <v>120125.00000000001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8" si="1">F6*$F$4</f>
        <v>2.4025000000000003</v>
      </c>
      <c r="K6" s="67">
        <f t="shared" ref="K6:K8" si="2">H6*$F$4</f>
        <v>76880</v>
      </c>
    </row>
    <row r="7" spans="1:17" ht="16">
      <c r="B7" s="56"/>
      <c r="C7" s="56" t="s">
        <v>54</v>
      </c>
      <c r="D7" s="57" t="s">
        <v>348</v>
      </c>
      <c r="E7" s="58" t="s">
        <v>349</v>
      </c>
      <c r="F7" s="59">
        <f>1/20</f>
        <v>0.05</v>
      </c>
      <c r="G7" s="60">
        <f>Tolva</f>
        <v>38000</v>
      </c>
      <c r="H7" s="61">
        <f t="shared" si="0"/>
        <v>1900</v>
      </c>
      <c r="J7" s="75">
        <f t="shared" si="1"/>
        <v>2.4025000000000003</v>
      </c>
      <c r="K7" s="67">
        <f t="shared" si="2"/>
        <v>91295.000000000015</v>
      </c>
    </row>
    <row r="8" spans="1:17" ht="16">
      <c r="B8" s="56"/>
      <c r="C8" s="56" t="s">
        <v>54</v>
      </c>
      <c r="D8" s="57" t="s">
        <v>67</v>
      </c>
      <c r="E8" s="58" t="s">
        <v>70</v>
      </c>
      <c r="F8" s="59">
        <v>1.3</v>
      </c>
      <c r="G8" s="60">
        <v>15000</v>
      </c>
      <c r="H8" s="61">
        <f t="shared" si="0"/>
        <v>19500</v>
      </c>
      <c r="J8" s="75">
        <f t="shared" si="1"/>
        <v>62.465000000000011</v>
      </c>
      <c r="K8" s="67">
        <f t="shared" si="2"/>
        <v>936975.00000000012</v>
      </c>
    </row>
    <row r="9" spans="1:17" ht="16">
      <c r="B9" s="62"/>
      <c r="C9" s="62"/>
      <c r="D9" s="63"/>
      <c r="E9" s="64" t="s">
        <v>402</v>
      </c>
      <c r="F9" s="120">
        <f>$F$4</f>
        <v>48.050000000000004</v>
      </c>
      <c r="G9" s="65">
        <f>SUM(H5:H8)</f>
        <v>25500</v>
      </c>
      <c r="H9" s="65">
        <f t="shared" ref="H9" si="3">ROUND(F9*G9,3)</f>
        <v>1225275</v>
      </c>
      <c r="K9" s="76">
        <f>SUM(K5:K8)</f>
        <v>1225275</v>
      </c>
    </row>
    <row r="11" spans="1:17">
      <c r="C11" s="66"/>
    </row>
  </sheetData>
  <dataValidations count="1">
    <dataValidation type="list" allowBlank="1" showErrorMessage="1" sqref="C9 C4" xr:uid="{694711EE-9886-4272-812C-967B0D19379C}">
      <formula1>"Capítulo,Partida,Mano de obra,Maquinaria,Material,Otros,Tarea"</formula1>
    </dataValidation>
  </dataValidations>
  <hyperlinks>
    <hyperlink ref="B1" location="'01.- Presupuesto'!A1" display="02.- Presupuesto'!A1" xr:uid="{AE4DCDD3-521E-FF45-BD28-46A75E42D532}"/>
  </hyperlinks>
  <pageMargins left="0.7" right="0.7" top="0.75" bottom="0.75" header="0.3" footer="0.3"/>
  <pageSetup orientation="portrait" horizontalDpi="0" verticalDpi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2B4A5-0315-4CE0-AAF3-99F6CDFD7578}">
  <sheetPr>
    <tabColor theme="9" tint="0.59999389629810485"/>
  </sheetPr>
  <dimension ref="A1:Q14"/>
  <sheetViews>
    <sheetView showGridLines="0" zoomScaleNormal="100" workbookViewId="0">
      <selection activeCell="S40" sqref="S40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133</v>
      </c>
      <c r="C4" s="53" t="s">
        <v>36</v>
      </c>
      <c r="D4" s="148" t="str">
        <f>'01.- Presupuesto'!F51</f>
        <v>m2</v>
      </c>
      <c r="E4" s="149" t="str">
        <f>'01.- Presupuesto'!C51</f>
        <v>Suministro y construcción moldajes de madera o metálicos</v>
      </c>
      <c r="F4" s="73">
        <f>'01.- Presupuesto'!G51</f>
        <v>95</v>
      </c>
      <c r="G4" s="55">
        <f>G12</f>
        <v>16475.795999999998</v>
      </c>
      <c r="H4" s="55">
        <f>H12</f>
        <v>1565200.62</v>
      </c>
      <c r="J4" s="74" t="s">
        <v>30</v>
      </c>
      <c r="K4" s="74" t="s">
        <v>37</v>
      </c>
      <c r="M4" s="70">
        <f>SUMIF(C5:C24,"Material",K5:K24)</f>
        <v>1124400.6199999999</v>
      </c>
      <c r="N4" s="70">
        <f>SUMIF(C5:C24,"Mano de Obra",K5:K24)</f>
        <v>367333.36499999999</v>
      </c>
      <c r="O4" s="70">
        <f>SUMIF(C5:C24,"Subcontrato",K5:K24)</f>
        <v>0</v>
      </c>
      <c r="P4" s="70">
        <f>SUMIF(C5:C24,"Ser&amp;Arr",K5:K24)</f>
        <v>73466.634999999995</v>
      </c>
      <c r="Q4" s="71">
        <f>SUM(M4:P4)</f>
        <v>1565200.6199999999</v>
      </c>
    </row>
    <row r="5" spans="1:17" ht="16">
      <c r="B5" s="56"/>
      <c r="C5" s="56" t="s">
        <v>38</v>
      </c>
      <c r="D5" s="57" t="s">
        <v>39</v>
      </c>
      <c r="E5" s="58" t="s">
        <v>390</v>
      </c>
      <c r="F5" s="59">
        <f>1/0.48</f>
        <v>2.0833333333333335</v>
      </c>
      <c r="G5" s="60">
        <v>2400</v>
      </c>
      <c r="H5" s="61">
        <f t="shared" ref="H5:H10" si="0">ROUND(F5*G5,3)</f>
        <v>5000</v>
      </c>
      <c r="J5" s="75">
        <f>F5*$F$4</f>
        <v>197.91666666666669</v>
      </c>
      <c r="K5" s="67">
        <f>H5*$F$4</f>
        <v>475000</v>
      </c>
    </row>
    <row r="6" spans="1:17" ht="16">
      <c r="B6" s="56"/>
      <c r="C6" s="56" t="s">
        <v>38</v>
      </c>
      <c r="D6" s="57" t="s">
        <v>39</v>
      </c>
      <c r="E6" s="58" t="s">
        <v>391</v>
      </c>
      <c r="F6" s="59">
        <f>1.05*1/(1.22*2.44)</f>
        <v>0.35272776135447464</v>
      </c>
      <c r="G6" s="60">
        <v>16966</v>
      </c>
      <c r="H6" s="61">
        <f t="shared" si="0"/>
        <v>5984.3789999999999</v>
      </c>
      <c r="J6" s="75">
        <f t="shared" ref="J6:J10" si="1">F6*$F$4</f>
        <v>33.509137328675088</v>
      </c>
      <c r="K6" s="67">
        <f t="shared" ref="K6:K10" si="2">H6*$F$4</f>
        <v>568516.005</v>
      </c>
    </row>
    <row r="7" spans="1:17" ht="16">
      <c r="B7" s="56"/>
      <c r="C7" s="56" t="s">
        <v>38</v>
      </c>
      <c r="D7" s="57" t="s">
        <v>75</v>
      </c>
      <c r="E7" s="58" t="s">
        <v>392</v>
      </c>
      <c r="F7" s="59">
        <f>1/4</f>
        <v>0.25</v>
      </c>
      <c r="G7" s="60">
        <v>1184</v>
      </c>
      <c r="H7" s="61">
        <f t="shared" si="0"/>
        <v>296</v>
      </c>
      <c r="J7" s="75">
        <f t="shared" si="1"/>
        <v>23.75</v>
      </c>
      <c r="K7" s="67">
        <f t="shared" si="2"/>
        <v>28120</v>
      </c>
    </row>
    <row r="8" spans="1:17" ht="16">
      <c r="B8" s="56"/>
      <c r="C8" s="56" t="s">
        <v>38</v>
      </c>
      <c r="D8" s="57" t="s">
        <v>39</v>
      </c>
      <c r="E8" s="58" t="s">
        <v>393</v>
      </c>
      <c r="F8" s="59">
        <f>1/72</f>
        <v>1.3888888888888888E-2</v>
      </c>
      <c r="G8" s="60">
        <v>39990</v>
      </c>
      <c r="H8" s="61">
        <f t="shared" si="0"/>
        <v>555.41700000000003</v>
      </c>
      <c r="J8" s="75">
        <f t="shared" si="1"/>
        <v>1.3194444444444444</v>
      </c>
      <c r="K8" s="67">
        <f t="shared" si="2"/>
        <v>52764.615000000005</v>
      </c>
    </row>
    <row r="9" spans="1:17" ht="16">
      <c r="B9" s="56"/>
      <c r="C9" s="56" t="s">
        <v>40</v>
      </c>
      <c r="D9" s="57" t="s">
        <v>41</v>
      </c>
      <c r="E9" s="58" t="s">
        <v>90</v>
      </c>
      <c r="F9" s="59">
        <f>0.3</f>
        <v>0.3</v>
      </c>
      <c r="G9" s="60">
        <f>Maestro</f>
        <v>7250</v>
      </c>
      <c r="H9" s="61">
        <f t="shared" si="0"/>
        <v>2175</v>
      </c>
      <c r="J9" s="75">
        <f t="shared" si="1"/>
        <v>28.5</v>
      </c>
      <c r="K9" s="67">
        <f t="shared" si="2"/>
        <v>206625</v>
      </c>
    </row>
    <row r="10" spans="1:17" ht="16">
      <c r="B10" s="56"/>
      <c r="C10" s="56" t="s">
        <v>40</v>
      </c>
      <c r="D10" s="57" t="s">
        <v>41</v>
      </c>
      <c r="E10" s="58" t="s">
        <v>91</v>
      </c>
      <c r="F10" s="59">
        <f>0.3</f>
        <v>0.3</v>
      </c>
      <c r="G10" s="60">
        <f>Ayudante</f>
        <v>5638.8888888888887</v>
      </c>
      <c r="H10" s="61">
        <f t="shared" si="0"/>
        <v>1691.6669999999999</v>
      </c>
      <c r="J10" s="75">
        <f t="shared" si="1"/>
        <v>28.5</v>
      </c>
      <c r="K10" s="67">
        <f t="shared" si="2"/>
        <v>160708.36499999999</v>
      </c>
    </row>
    <row r="11" spans="1:17" ht="16">
      <c r="B11" s="56"/>
      <c r="C11" s="56" t="s">
        <v>54</v>
      </c>
      <c r="D11" s="57" t="s">
        <v>42</v>
      </c>
      <c r="E11" s="58" t="s">
        <v>55</v>
      </c>
      <c r="F11" s="59">
        <v>0.2</v>
      </c>
      <c r="G11" s="60">
        <f>SUM(H9:H10)</f>
        <v>3866.6669999999999</v>
      </c>
      <c r="H11" s="61">
        <f>ROUND(F11*G11,3)</f>
        <v>773.33299999999997</v>
      </c>
      <c r="J11" s="75">
        <f>F11*$F$4</f>
        <v>19</v>
      </c>
      <c r="K11" s="67">
        <f>H11*$F$4</f>
        <v>73466.634999999995</v>
      </c>
    </row>
    <row r="12" spans="1:17" ht="16">
      <c r="B12" s="62"/>
      <c r="C12" s="62"/>
      <c r="D12" s="63"/>
      <c r="E12" s="64" t="s">
        <v>403</v>
      </c>
      <c r="F12" s="120">
        <f>$F$4</f>
        <v>95</v>
      </c>
      <c r="G12" s="65">
        <f>SUM(H5:H11)</f>
        <v>16475.795999999998</v>
      </c>
      <c r="H12" s="65">
        <f t="shared" ref="H12" si="3">ROUND(F12*G12,3)</f>
        <v>1565200.62</v>
      </c>
      <c r="K12" s="76">
        <f>SUM(K5:K11)</f>
        <v>1565200.6199999999</v>
      </c>
    </row>
    <row r="14" spans="1:17">
      <c r="C14" s="66"/>
    </row>
  </sheetData>
  <dataValidations count="1">
    <dataValidation type="list" allowBlank="1" showErrorMessage="1" sqref="C12 C4" xr:uid="{F9D6F20B-C6F3-4B55-9B6B-F563023BC3E3}">
      <formula1>"Capítulo,Partida,Mano de obra,Maquinaria,Material,Otros,Tarea"</formula1>
    </dataValidation>
  </dataValidations>
  <hyperlinks>
    <hyperlink ref="B1" location="'01.- Presupuesto'!A1" display="02.- Presupuesto'!A1" xr:uid="{D4054018-3B2B-A341-B586-3F9AE8C887F3}"/>
  </hyperlinks>
  <pageMargins left="0.7" right="0.7" top="0.75" bottom="0.75" header="0.3" footer="0.3"/>
  <pageSetup orientation="portrait" horizontalDpi="0" verticalDpi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C9B1-9419-4D79-81CD-B933A5AE77AC}">
  <sheetPr>
    <tabColor theme="9" tint="0.59999389629810485"/>
  </sheetPr>
  <dimension ref="A1:Q10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134</v>
      </c>
      <c r="C4" s="53" t="s">
        <v>36</v>
      </c>
      <c r="D4" s="148" t="str">
        <f>'01.- Presupuesto'!F52</f>
        <v>kg</v>
      </c>
      <c r="E4" s="149" t="str">
        <f>'01.- Presupuesto'!C52</f>
        <v>Suministro e instalación armadura A630-420H, diámetro 12mm</v>
      </c>
      <c r="F4" s="73">
        <f>'01.- Presupuesto'!G52</f>
        <v>600</v>
      </c>
      <c r="G4" s="55">
        <f>G8</f>
        <v>1644.3330000000001</v>
      </c>
      <c r="H4" s="55">
        <f>H8</f>
        <v>986599.8</v>
      </c>
      <c r="J4" s="74" t="s">
        <v>30</v>
      </c>
      <c r="K4" s="74" t="s">
        <v>37</v>
      </c>
      <c r="M4" s="70">
        <f>SUMIF(C5:C20,"Material",K5:K20)</f>
        <v>626599.80000000005</v>
      </c>
      <c r="N4" s="70">
        <f>SUMIF(C5:C20,"Mano de Obra",K5:K20)</f>
        <v>0</v>
      </c>
      <c r="O4" s="70">
        <f>SUMIF(C5:C20,"Subcontrato",K5:K20)</f>
        <v>360000</v>
      </c>
      <c r="P4" s="70">
        <f>SUMIF(C5:C20,"Ser&amp;Arr",K5:K20)</f>
        <v>0</v>
      </c>
      <c r="Q4" s="71">
        <f>SUM(M4:P4)</f>
        <v>986599.8</v>
      </c>
    </row>
    <row r="5" spans="1:17" ht="16">
      <c r="B5" s="56"/>
      <c r="C5" s="56" t="s">
        <v>38</v>
      </c>
      <c r="D5" s="57" t="s">
        <v>396</v>
      </c>
      <c r="E5" s="58" t="s">
        <v>395</v>
      </c>
      <c r="F5" s="59">
        <v>1.1000000000000001</v>
      </c>
      <c r="G5" s="60">
        <v>900</v>
      </c>
      <c r="H5" s="61">
        <f t="shared" ref="H5:H7" si="0">ROUND(F5*G5,3)</f>
        <v>990</v>
      </c>
      <c r="J5" s="75">
        <f>F5*$F$4</f>
        <v>660</v>
      </c>
      <c r="K5" s="67">
        <f>H5*$F$4</f>
        <v>594000</v>
      </c>
    </row>
    <row r="6" spans="1:17" ht="16">
      <c r="B6" s="56"/>
      <c r="C6" s="56" t="s">
        <v>38</v>
      </c>
      <c r="D6" s="57" t="s">
        <v>396</v>
      </c>
      <c r="E6" s="58" t="s">
        <v>397</v>
      </c>
      <c r="F6" s="59">
        <f>1/30</f>
        <v>3.3333333333333333E-2</v>
      </c>
      <c r="G6" s="60">
        <v>1630</v>
      </c>
      <c r="H6" s="61">
        <f t="shared" si="0"/>
        <v>54.332999999999998</v>
      </c>
      <c r="J6" s="75">
        <f t="shared" ref="J6:J7" si="1">F6*$F$4</f>
        <v>20</v>
      </c>
      <c r="K6" s="67">
        <f t="shared" ref="K6:K7" si="2">H6*$F$4</f>
        <v>32599.8</v>
      </c>
    </row>
    <row r="7" spans="1:17" ht="16">
      <c r="B7" s="56"/>
      <c r="C7" s="56" t="s">
        <v>94</v>
      </c>
      <c r="D7" s="57" t="s">
        <v>396</v>
      </c>
      <c r="E7" s="58" t="s">
        <v>482</v>
      </c>
      <c r="F7" s="59">
        <v>1</v>
      </c>
      <c r="G7" s="60">
        <f>Enf</f>
        <v>600</v>
      </c>
      <c r="H7" s="61">
        <f t="shared" si="0"/>
        <v>600</v>
      </c>
      <c r="J7" s="75">
        <f t="shared" si="1"/>
        <v>600</v>
      </c>
      <c r="K7" s="67">
        <f t="shared" si="2"/>
        <v>360000</v>
      </c>
    </row>
    <row r="8" spans="1:17" ht="16">
      <c r="B8" s="62"/>
      <c r="C8" s="62"/>
      <c r="D8" s="63"/>
      <c r="E8" s="64" t="s">
        <v>404</v>
      </c>
      <c r="F8" s="120">
        <f>$F$4</f>
        <v>600</v>
      </c>
      <c r="G8" s="65">
        <f>SUM(H5:H7)</f>
        <v>1644.3330000000001</v>
      </c>
      <c r="H8" s="65">
        <f t="shared" ref="H8" si="3">ROUND(F8*G8,3)</f>
        <v>986599.8</v>
      </c>
      <c r="K8" s="76">
        <f>SUM(K5:K7)</f>
        <v>986599.8</v>
      </c>
    </row>
    <row r="10" spans="1:17">
      <c r="C10" s="66"/>
    </row>
  </sheetData>
  <dataValidations disablePrompts="1" count="1">
    <dataValidation type="list" allowBlank="1" showErrorMessage="1" sqref="C8 C4" xr:uid="{81126BB9-9ABC-4311-907D-34DAC23B4C96}">
      <formula1>"Capítulo,Partida,Mano de obra,Maquinaria,Material,Otros,Tarea"</formula1>
    </dataValidation>
  </dataValidations>
  <hyperlinks>
    <hyperlink ref="B1" location="'01.- Presupuesto'!A1" display="02.- Presupuesto'!A1" xr:uid="{9ACC38F0-052E-DA4B-B5B2-E501DF47BCBC}"/>
  </hyperlinks>
  <pageMargins left="0.7" right="0.7" top="0.75" bottom="0.75" header="0.3" footer="0.3"/>
  <pageSetup orientation="portrait" horizontalDpi="0" verticalDpi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769C-95F2-4267-BBF7-AEA27C2A075E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135</v>
      </c>
      <c r="C4" s="53" t="s">
        <v>36</v>
      </c>
      <c r="D4" s="148" t="str">
        <f>'01.- Presupuesto'!F53</f>
        <v>un</v>
      </c>
      <c r="E4" s="149" t="str">
        <f>'01.- Presupuesto'!C53</f>
        <v>Suministro e instalación de pernos de anclaje químico</v>
      </c>
      <c r="F4" s="73">
        <f>'01.- Presupuesto'!G53</f>
        <v>20</v>
      </c>
      <c r="G4" s="55">
        <f>G9</f>
        <v>11342.214</v>
      </c>
      <c r="H4" s="55">
        <f>H9</f>
        <v>226844.28</v>
      </c>
      <c r="J4" s="74" t="s">
        <v>30</v>
      </c>
      <c r="K4" s="74" t="s">
        <v>37</v>
      </c>
      <c r="M4" s="70">
        <f>SUMIF(C5:C21,"Material",K5:K21)</f>
        <v>197844.28</v>
      </c>
      <c r="N4" s="70">
        <f>SUMIF(C5:C21,"Mano de Obra",K5:K21)</f>
        <v>24166.660000000003</v>
      </c>
      <c r="O4" s="70">
        <f>SUMIF(C5:C21,"Subcontrato",K5:K21)</f>
        <v>0</v>
      </c>
      <c r="P4" s="70">
        <f>SUMIF(C5:C21,"Ser&amp;Arr",K5:K21)</f>
        <v>4833.34</v>
      </c>
      <c r="Q4" s="71">
        <f>SUM(M4:P4)</f>
        <v>226844.28</v>
      </c>
    </row>
    <row r="5" spans="1:17" ht="16">
      <c r="B5" s="56"/>
      <c r="C5" s="56" t="s">
        <v>38</v>
      </c>
      <c r="D5" s="57" t="s">
        <v>39</v>
      </c>
      <c r="E5" s="58" t="s">
        <v>435</v>
      </c>
      <c r="F5" s="59">
        <v>1</v>
      </c>
      <c r="G5" s="60">
        <v>9600</v>
      </c>
      <c r="H5" s="61">
        <f t="shared" ref="H5:H7" si="0">ROUND(F5*G5,3)</f>
        <v>9600</v>
      </c>
      <c r="J5" s="75">
        <f>F5*$F$4</f>
        <v>20</v>
      </c>
      <c r="K5" s="67">
        <f>H5*$F$4</f>
        <v>192000</v>
      </c>
    </row>
    <row r="6" spans="1:17" ht="16">
      <c r="B6" s="56"/>
      <c r="C6" s="56" t="s">
        <v>38</v>
      </c>
      <c r="D6" s="57" t="s">
        <v>39</v>
      </c>
      <c r="E6" s="58" t="s">
        <v>433</v>
      </c>
      <c r="F6" s="59">
        <f>1.1*1/49</f>
        <v>2.2448979591836737E-2</v>
      </c>
      <c r="G6" s="60">
        <f>15490/1.19</f>
        <v>13016.806722689076</v>
      </c>
      <c r="H6" s="61">
        <f t="shared" si="0"/>
        <v>292.214</v>
      </c>
      <c r="J6" s="75">
        <f t="shared" ref="J6:J8" si="1">F6*$F$4</f>
        <v>0.44897959183673475</v>
      </c>
      <c r="K6" s="67">
        <f t="shared" ref="K6:K8" si="2">H6*$F$4</f>
        <v>5844.28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1/6</f>
        <v>0.16666666666666666</v>
      </c>
      <c r="G7" s="60">
        <f>Maestro</f>
        <v>7250</v>
      </c>
      <c r="H7" s="61">
        <f t="shared" si="0"/>
        <v>1208.3330000000001</v>
      </c>
      <c r="J7" s="75">
        <f t="shared" si="1"/>
        <v>3.333333333333333</v>
      </c>
      <c r="K7" s="67">
        <f t="shared" si="2"/>
        <v>24166.660000000003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SUM(H7:H7)</f>
        <v>1208.3330000000001</v>
      </c>
      <c r="H8" s="61">
        <f>ROUND(F8*G8,3)</f>
        <v>241.667</v>
      </c>
      <c r="J8" s="75">
        <f t="shared" si="1"/>
        <v>4</v>
      </c>
      <c r="K8" s="67">
        <f t="shared" si="2"/>
        <v>4833.34</v>
      </c>
    </row>
    <row r="9" spans="1:17" ht="16">
      <c r="B9" s="62"/>
      <c r="C9" s="62"/>
      <c r="D9" s="63"/>
      <c r="E9" s="64" t="s">
        <v>436</v>
      </c>
      <c r="F9" s="120">
        <f>$F$4</f>
        <v>20</v>
      </c>
      <c r="G9" s="65">
        <f>SUM(H5:H8)</f>
        <v>11342.214</v>
      </c>
      <c r="H9" s="65">
        <f t="shared" ref="H9" si="3">ROUND(F9*G9,3)</f>
        <v>226844.28</v>
      </c>
      <c r="K9" s="76">
        <f>SUM(K5:K8)</f>
        <v>226844.28</v>
      </c>
    </row>
    <row r="11" spans="1:17">
      <c r="C11" s="66"/>
    </row>
  </sheetData>
  <dataValidations count="1">
    <dataValidation type="list" allowBlank="1" showErrorMessage="1" sqref="C9 C4" xr:uid="{A86B6630-A021-4C82-BBE9-67BAE5A763E7}">
      <formula1>"Capítulo,Partida,Mano de obra,Maquinaria,Material,Otros,Tarea"</formula1>
    </dataValidation>
  </dataValidations>
  <hyperlinks>
    <hyperlink ref="B1" location="'01.- Presupuesto'!A1" display="02.- Presupuesto'!A1" xr:uid="{1751ACFC-D273-ED43-AE78-358584CAAF7F}"/>
  </hyperlinks>
  <pageMargins left="0.7" right="0.7" top="0.75" bottom="0.75" header="0.3" footer="0.3"/>
  <pageSetup orientation="portrait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ADA0-FD75-4C97-9FC1-E93BD33E50A2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137</v>
      </c>
      <c r="C4" s="53" t="s">
        <v>36</v>
      </c>
      <c r="D4" s="148" t="str">
        <f>'01.- Presupuesto'!F55</f>
        <v>m2</v>
      </c>
      <c r="E4" s="149" t="str">
        <f>'01.- Presupuesto'!C55</f>
        <v>Suministro e instalación parrilla de piso Arriogoni ARS-3</v>
      </c>
      <c r="F4" s="73">
        <f>'01.- Presupuesto'!G55</f>
        <v>19</v>
      </c>
      <c r="G4" s="55">
        <f>G9</f>
        <v>85931.567999999999</v>
      </c>
      <c r="H4" s="55">
        <f>H9</f>
        <v>1632699.7919999999</v>
      </c>
      <c r="J4" s="74" t="s">
        <v>30</v>
      </c>
      <c r="K4" s="74" t="s">
        <v>37</v>
      </c>
      <c r="M4" s="70">
        <f>SUMIF(C5:C21,"Material",K5:K21)</f>
        <v>863199.79200000002</v>
      </c>
      <c r="N4" s="70">
        <f>SUMIF(C5:C21,"Mano de Obra",K5:K21)</f>
        <v>0</v>
      </c>
      <c r="O4" s="70">
        <f>SUMIF(C5:C21,"Subcontrato",K5:K21)</f>
        <v>769500</v>
      </c>
      <c r="P4" s="70">
        <f>SUMIF(C5:C21,"Ser&amp;Arr",K5:K21)</f>
        <v>0</v>
      </c>
      <c r="Q4" s="71">
        <f>SUM(M4:P4)</f>
        <v>1632699.7919999999</v>
      </c>
    </row>
    <row r="5" spans="1:17" ht="16">
      <c r="B5" s="56"/>
      <c r="C5" s="56" t="s">
        <v>38</v>
      </c>
      <c r="D5" s="57" t="s">
        <v>39</v>
      </c>
      <c r="E5" s="58" t="s">
        <v>483</v>
      </c>
      <c r="F5" s="59">
        <f>1.1*1/(5.8*0.903)</f>
        <v>0.21002787642723489</v>
      </c>
      <c r="G5" s="60">
        <v>195422</v>
      </c>
      <c r="H5" s="61">
        <f t="shared" ref="H5:H8" si="0">ROUND(F5*G5,3)</f>
        <v>41044.067999999999</v>
      </c>
      <c r="J5" s="75">
        <f>F5*$F$4</f>
        <v>3.9905296521174627</v>
      </c>
      <c r="K5" s="67">
        <f>H5*$F$4</f>
        <v>779837.29200000002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f>F8*0.03</f>
        <v>0.80999999999999994</v>
      </c>
      <c r="G6" s="60">
        <v>2000</v>
      </c>
      <c r="H6" s="61">
        <f t="shared" si="0"/>
        <v>1620</v>
      </c>
      <c r="J6" s="75">
        <f t="shared" ref="J6:J8" si="1">F6*$F$4</f>
        <v>15.389999999999999</v>
      </c>
      <c r="K6" s="67">
        <f t="shared" ref="K6:K8" si="2">H6*$F$4</f>
        <v>30780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f>F8*0.025</f>
        <v>0.67500000000000004</v>
      </c>
      <c r="G7" s="60">
        <v>4100</v>
      </c>
      <c r="H7" s="61">
        <f t="shared" si="0"/>
        <v>2767.5</v>
      </c>
      <c r="J7" s="75">
        <f t="shared" si="1"/>
        <v>12.825000000000001</v>
      </c>
      <c r="K7" s="67">
        <f t="shared" si="2"/>
        <v>52582.5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v>27</v>
      </c>
      <c r="G8" s="60">
        <f>Met</f>
        <v>1500</v>
      </c>
      <c r="H8" s="61">
        <f t="shared" si="0"/>
        <v>40500</v>
      </c>
      <c r="J8" s="75">
        <f t="shared" si="1"/>
        <v>513</v>
      </c>
      <c r="K8" s="67">
        <f t="shared" si="2"/>
        <v>769500</v>
      </c>
    </row>
    <row r="9" spans="1:17" ht="16">
      <c r="B9" s="62"/>
      <c r="C9" s="62"/>
      <c r="D9" s="63"/>
      <c r="E9" s="64" t="s">
        <v>484</v>
      </c>
      <c r="F9" s="120">
        <f>$F$4</f>
        <v>19</v>
      </c>
      <c r="G9" s="65">
        <f>SUM(H5:H8)</f>
        <v>85931.567999999999</v>
      </c>
      <c r="H9" s="65">
        <f t="shared" ref="H9" si="3">ROUND(F9*G9,3)</f>
        <v>1632699.7919999999</v>
      </c>
      <c r="K9" s="76">
        <f>SUM(K5:K8)</f>
        <v>1632699.7919999999</v>
      </c>
    </row>
    <row r="11" spans="1:17">
      <c r="C11" s="66"/>
    </row>
  </sheetData>
  <dataValidations disablePrompts="1" count="1">
    <dataValidation type="list" allowBlank="1" showErrorMessage="1" sqref="C9 C4" xr:uid="{3F121065-7F20-47D7-BACF-0F92C6EB4CE4}">
      <formula1>"Capítulo,Partida,Mano de obra,Maquinaria,Material,Otros,Tarea"</formula1>
    </dataValidation>
  </dataValidations>
  <hyperlinks>
    <hyperlink ref="B1" location="'01.- Presupuesto'!A1" display="02.- Presupuesto'!A1" xr:uid="{315C9B6F-6047-A947-9FC9-A24B003B1821}"/>
  </hyperlinks>
  <pageMargins left="0.7" right="0.7" top="0.75" bottom="0.75" header="0.3" footer="0.3"/>
  <pageSetup orientation="portrait" horizontalDpi="0" verticalDpi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AC2A-6062-430B-B4EB-9217209D92E8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138</v>
      </c>
      <c r="C4" s="53" t="s">
        <v>36</v>
      </c>
      <c r="D4" s="148" t="str">
        <f>'01.- Presupuesto'!F56</f>
        <v>m</v>
      </c>
      <c r="E4" s="149" t="str">
        <f>'01.- Presupuesto'!C56</f>
        <v>Suministro e instalación ángulo acero L30x3</v>
      </c>
      <c r="F4" s="73">
        <f>'01.- Presupuesto'!G56</f>
        <v>60</v>
      </c>
      <c r="G4" s="55">
        <f>G9</f>
        <v>4973.7250000000004</v>
      </c>
      <c r="H4" s="55">
        <f>H9</f>
        <v>298423.5</v>
      </c>
      <c r="J4" s="74" t="s">
        <v>30</v>
      </c>
      <c r="K4" s="74" t="s">
        <v>37</v>
      </c>
      <c r="M4" s="70">
        <f>SUMIF(C5:C21,"Material",K5:K21)</f>
        <v>175573.5</v>
      </c>
      <c r="N4" s="70">
        <f>SUMIF(C5:C21,"Mano de Obra",K5:K21)</f>
        <v>0</v>
      </c>
      <c r="O4" s="70">
        <f>SUMIF(C5:C21,"Subcontrato",K5:K21)</f>
        <v>122850</v>
      </c>
      <c r="P4" s="70">
        <f>SUMIF(C5:C21,"Ser&amp;Arr",K5:K21)</f>
        <v>0</v>
      </c>
      <c r="Q4" s="71">
        <f>SUM(M4:P4)</f>
        <v>298423.5</v>
      </c>
    </row>
    <row r="5" spans="1:17" ht="16">
      <c r="B5" s="56"/>
      <c r="C5" s="56" t="s">
        <v>38</v>
      </c>
      <c r="D5" s="57" t="s">
        <v>39</v>
      </c>
      <c r="E5" s="58" t="s">
        <v>488</v>
      </c>
      <c r="F5" s="59">
        <f>1.05*(1/6)</f>
        <v>0.17499999999999999</v>
      </c>
      <c r="G5" s="60">
        <f>18390/1.19</f>
        <v>15453.781512605043</v>
      </c>
      <c r="H5" s="61">
        <f t="shared" ref="H5:H8" si="0">ROUND(F5*G5,3)</f>
        <v>2704.4119999999998</v>
      </c>
      <c r="J5" s="75">
        <f>F5*$F$4</f>
        <v>10.5</v>
      </c>
      <c r="K5" s="67">
        <f>H5*$F$4</f>
        <v>162264.72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f>F8*0.03</f>
        <v>4.095E-2</v>
      </c>
      <c r="G6" s="60">
        <v>2000</v>
      </c>
      <c r="H6" s="61">
        <f t="shared" si="0"/>
        <v>81.900000000000006</v>
      </c>
      <c r="J6" s="75">
        <f t="shared" ref="J6:J8" si="1">F6*$F$4</f>
        <v>2.4569999999999999</v>
      </c>
      <c r="K6" s="67">
        <f t="shared" ref="K6:K8" si="2">H6*$F$4</f>
        <v>4914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f>F8*0.025</f>
        <v>3.4125000000000003E-2</v>
      </c>
      <c r="G7" s="60">
        <v>4100</v>
      </c>
      <c r="H7" s="61">
        <f t="shared" si="0"/>
        <v>139.91300000000001</v>
      </c>
      <c r="J7" s="75">
        <f t="shared" si="1"/>
        <v>2.0475000000000003</v>
      </c>
      <c r="K7" s="67">
        <f t="shared" si="2"/>
        <v>8394.7800000000007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f>7.8*F5</f>
        <v>1.365</v>
      </c>
      <c r="G8" s="60">
        <f>Met</f>
        <v>1500</v>
      </c>
      <c r="H8" s="61">
        <f t="shared" si="0"/>
        <v>2047.5</v>
      </c>
      <c r="J8" s="75">
        <f t="shared" si="1"/>
        <v>81.900000000000006</v>
      </c>
      <c r="K8" s="67">
        <f t="shared" si="2"/>
        <v>122850</v>
      </c>
    </row>
    <row r="9" spans="1:17" ht="16">
      <c r="B9" s="62"/>
      <c r="C9" s="62"/>
      <c r="D9" s="63"/>
      <c r="E9" s="64" t="s">
        <v>485</v>
      </c>
      <c r="F9" s="120">
        <f>$F$4</f>
        <v>60</v>
      </c>
      <c r="G9" s="65">
        <f>SUM(H5:H8)</f>
        <v>4973.7250000000004</v>
      </c>
      <c r="H9" s="65">
        <f t="shared" ref="H9" si="3">ROUND(F9*G9,3)</f>
        <v>298423.5</v>
      </c>
      <c r="K9" s="76">
        <f>SUM(K5:K8)</f>
        <v>298423.5</v>
      </c>
    </row>
    <row r="11" spans="1:17">
      <c r="C11" s="66"/>
    </row>
  </sheetData>
  <dataValidations count="1">
    <dataValidation type="list" allowBlank="1" showErrorMessage="1" sqref="C9 C4" xr:uid="{CAF5E712-5192-4336-9E11-B8DF3EC93C54}">
      <formula1>"Capítulo,Partida,Mano de obra,Maquinaria,Material,Otros,Tarea"</formula1>
    </dataValidation>
  </dataValidations>
  <hyperlinks>
    <hyperlink ref="B1" location="'01.- Presupuesto'!A1" display="02.- Presupuesto'!A1" xr:uid="{F6660FEC-90F9-0D41-B11F-3343AC19CAAA}"/>
  </hyperlinks>
  <pageMargins left="0.7" right="0.7" top="0.75" bottom="0.75" header="0.3" footer="0.3"/>
  <pageSetup orientation="portrait" horizontalDpi="0" verticalDpi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0D5B-2787-4E1B-B00E-0DBBB54AE47B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139</v>
      </c>
      <c r="C4" s="53" t="s">
        <v>36</v>
      </c>
      <c r="D4" s="148" t="str">
        <f>'01.- Presupuesto'!F57</f>
        <v>m</v>
      </c>
      <c r="E4" s="149" t="str">
        <f>'01.- Presupuesto'!C57</f>
        <v>Suministro e instalación ángulo acero L50x5</v>
      </c>
      <c r="F4" s="73">
        <f>'01.- Presupuesto'!G57</f>
        <v>50</v>
      </c>
      <c r="G4" s="55">
        <f>G9</f>
        <v>12127.177</v>
      </c>
      <c r="H4" s="55">
        <f>H9</f>
        <v>606358.85</v>
      </c>
      <c r="J4" s="74" t="s">
        <v>30</v>
      </c>
      <c r="K4" s="74" t="s">
        <v>37</v>
      </c>
      <c r="M4" s="70">
        <f>SUMIF(C5:C21,"Material",K5:K21)</f>
        <v>317936.94999999995</v>
      </c>
      <c r="N4" s="70">
        <f>SUMIF(C5:C21,"Mano de Obra",K5:K21)</f>
        <v>0</v>
      </c>
      <c r="O4" s="70">
        <f>SUMIF(C5:C21,"Subcontrato",K5:K21)</f>
        <v>288421.90000000002</v>
      </c>
      <c r="P4" s="70">
        <f>SUMIF(C5:C21,"Ser&amp;Arr",K5:K21)</f>
        <v>0</v>
      </c>
      <c r="Q4" s="71">
        <f>SUM(M4:P4)</f>
        <v>606358.85</v>
      </c>
    </row>
    <row r="5" spans="1:17" ht="16">
      <c r="B5" s="56"/>
      <c r="C5" s="56" t="s">
        <v>38</v>
      </c>
      <c r="D5" s="57" t="s">
        <v>39</v>
      </c>
      <c r="E5" s="58" t="s">
        <v>486</v>
      </c>
      <c r="F5" s="59">
        <f>1.05*(1/6)</f>
        <v>0.17499999999999999</v>
      </c>
      <c r="G5" s="60">
        <f>38990/1.19</f>
        <v>32764.705882352944</v>
      </c>
      <c r="H5" s="61">
        <f t="shared" ref="H5:H8" si="0">ROUND(F5*G5,3)</f>
        <v>5733.8239999999996</v>
      </c>
      <c r="J5" s="75">
        <f>F5*$F$4</f>
        <v>8.75</v>
      </c>
      <c r="K5" s="67">
        <f>H5*$F$4</f>
        <v>286691.19999999995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f>F8*0.03</f>
        <v>0.11536874999999999</v>
      </c>
      <c r="G6" s="60">
        <v>2000</v>
      </c>
      <c r="H6" s="61">
        <f t="shared" si="0"/>
        <v>230.738</v>
      </c>
      <c r="J6" s="75">
        <f t="shared" ref="J6:J8" si="1">F6*$F$4</f>
        <v>5.7684374999999992</v>
      </c>
      <c r="K6" s="67">
        <f t="shared" ref="K6:K8" si="2">H6*$F$4</f>
        <v>11536.9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f>F8*0.025</f>
        <v>9.6140625000000007E-2</v>
      </c>
      <c r="G7" s="60">
        <v>4100</v>
      </c>
      <c r="H7" s="61">
        <f t="shared" si="0"/>
        <v>394.17700000000002</v>
      </c>
      <c r="J7" s="75">
        <f t="shared" si="1"/>
        <v>4.8070312500000005</v>
      </c>
      <c r="K7" s="67">
        <f t="shared" si="2"/>
        <v>19708.850000000002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f>21.975*F5</f>
        <v>3.8456250000000001</v>
      </c>
      <c r="G8" s="60">
        <f>Met</f>
        <v>1500</v>
      </c>
      <c r="H8" s="61">
        <f t="shared" si="0"/>
        <v>5768.4380000000001</v>
      </c>
      <c r="J8" s="75">
        <f t="shared" si="1"/>
        <v>192.28125</v>
      </c>
      <c r="K8" s="67">
        <f t="shared" si="2"/>
        <v>288421.90000000002</v>
      </c>
    </row>
    <row r="9" spans="1:17" ht="16">
      <c r="B9" s="62"/>
      <c r="C9" s="62"/>
      <c r="D9" s="63"/>
      <c r="E9" s="64" t="s">
        <v>487</v>
      </c>
      <c r="F9" s="120">
        <f>$F$4</f>
        <v>50</v>
      </c>
      <c r="G9" s="65">
        <f>SUM(H5:H8)</f>
        <v>12127.177</v>
      </c>
      <c r="H9" s="65">
        <f t="shared" ref="H9" si="3">ROUND(F9*G9,3)</f>
        <v>606358.85</v>
      </c>
      <c r="K9" s="76">
        <f>SUM(K5:K8)</f>
        <v>606358.85</v>
      </c>
    </row>
    <row r="11" spans="1:17">
      <c r="C11" s="66"/>
    </row>
  </sheetData>
  <dataValidations count="1">
    <dataValidation type="list" allowBlank="1" showErrorMessage="1" sqref="C9 C4" xr:uid="{74CB987F-344C-4DFC-A3ED-DE859DDF864A}">
      <formula1>"Capítulo,Partida,Mano de obra,Maquinaria,Material,Otros,Tarea"</formula1>
    </dataValidation>
  </dataValidations>
  <hyperlinks>
    <hyperlink ref="B1" location="'01.- Presupuesto'!A1" display="02.- Presupuesto'!A1" xr:uid="{9A10B3C7-F1E8-F44F-B31D-D9CBB06FFA12}"/>
  </hyperlinks>
  <pageMargins left="0.7" right="0.7" top="0.75" bottom="0.75" header="0.3" footer="0.3"/>
  <pageSetup orientation="portrait" horizontalDpi="0" verticalDpi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3C124-6EE2-4E35-BDBD-AA62777B3999}">
  <sheetPr>
    <tabColor theme="9" tint="0.59999389629810485"/>
  </sheetPr>
  <dimension ref="A1:Q15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141</v>
      </c>
      <c r="C4" s="53" t="s">
        <v>36</v>
      </c>
      <c r="D4" s="148" t="str">
        <f>'01.- Presupuesto'!F59</f>
        <v>m3</v>
      </c>
      <c r="E4" s="149" t="str">
        <f>'01.- Presupuesto'!C59</f>
        <v>Suministro e Instalación Hormigón G25(10)20-8</v>
      </c>
      <c r="F4" s="73">
        <f>'01.- Presupuesto'!G59</f>
        <v>5.9159999999999995</v>
      </c>
      <c r="G4" s="55">
        <f>G13</f>
        <v>141504.26700000002</v>
      </c>
      <c r="H4" s="55">
        <f>H13</f>
        <v>837139.24399999995</v>
      </c>
      <c r="J4" s="74" t="s">
        <v>30</v>
      </c>
      <c r="K4" s="74" t="s">
        <v>37</v>
      </c>
      <c r="M4" s="70">
        <f>SUMIF(C5:C25,"Material",K5:K25)</f>
        <v>735370.89821999986</v>
      </c>
      <c r="N4" s="70">
        <f>SUMIF(C5:C25,"Mano de Obra",K5:K25)</f>
        <v>56870.289107999997</v>
      </c>
      <c r="O4" s="70">
        <f>SUMIF(C5:C25,"Subcontrato",K5:K25)</f>
        <v>0</v>
      </c>
      <c r="P4" s="70">
        <f>SUMIF(C5:C25,"Ser&amp;Arr",K5:K25)</f>
        <v>44898.056243999999</v>
      </c>
      <c r="Q4" s="71">
        <f>SUM(M4:P4)</f>
        <v>837139.24357199983</v>
      </c>
    </row>
    <row r="5" spans="1:17" ht="16">
      <c r="B5" s="56"/>
      <c r="C5" s="56" t="s">
        <v>38</v>
      </c>
      <c r="D5" s="57" t="s">
        <v>67</v>
      </c>
      <c r="E5" s="58" t="s">
        <v>370</v>
      </c>
      <c r="F5" s="59">
        <v>1.1000000000000001</v>
      </c>
      <c r="G5" s="60">
        <f>HormG25</f>
        <v>111910.95</v>
      </c>
      <c r="H5" s="61">
        <f t="shared" ref="H5:H8" si="0">ROUND(F5*G5,3)</f>
        <v>123102.045</v>
      </c>
      <c r="J5" s="75">
        <f>F5*$F$4</f>
        <v>6.5076000000000001</v>
      </c>
      <c r="K5" s="67">
        <f>H5*$F$4</f>
        <v>728271.6982199999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10" si="1">F6*$F$4</f>
        <v>0.59160000000000001</v>
      </c>
      <c r="K6" s="67">
        <f t="shared" ref="K6:K10" si="2">H6*$F$4</f>
        <v>7099.2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</f>
        <v>0.33333333333333331</v>
      </c>
      <c r="G7" s="60">
        <f>Maestro</f>
        <v>7250</v>
      </c>
      <c r="H7" s="61">
        <f t="shared" si="0"/>
        <v>2416.6669999999999</v>
      </c>
      <c r="J7" s="75">
        <f t="shared" si="1"/>
        <v>1.9719999999999998</v>
      </c>
      <c r="K7" s="67">
        <f t="shared" si="2"/>
        <v>14297.001971999998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</f>
        <v>1.3333333333333333</v>
      </c>
      <c r="G8" s="60">
        <f>Jornal</f>
        <v>5397.2222222222226</v>
      </c>
      <c r="H8" s="61">
        <f t="shared" si="0"/>
        <v>7196.2960000000003</v>
      </c>
      <c r="J8" s="75">
        <f t="shared" si="1"/>
        <v>7.887999999999999</v>
      </c>
      <c r="K8" s="67">
        <f t="shared" si="2"/>
        <v>42573.287135999999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9612.9629999999997</v>
      </c>
      <c r="H9" s="61">
        <f>ROUND(F9*G9,3)</f>
        <v>1922.5930000000001</v>
      </c>
      <c r="J9" s="75">
        <f t="shared" si="1"/>
        <v>1.1832</v>
      </c>
      <c r="K9" s="67">
        <f t="shared" si="2"/>
        <v>11374.060187999999</v>
      </c>
    </row>
    <row r="10" spans="1:17" ht="16">
      <c r="B10" s="56"/>
      <c r="C10" s="56" t="s">
        <v>54</v>
      </c>
      <c r="D10" s="57" t="s">
        <v>71</v>
      </c>
      <c r="E10" s="58" t="s">
        <v>372</v>
      </c>
      <c r="F10" s="59">
        <f>1/3</f>
        <v>0.33333333333333331</v>
      </c>
      <c r="G10" s="60">
        <f>3500+3500</f>
        <v>7000</v>
      </c>
      <c r="H10" s="61">
        <f>ROUND(F10*G10,3)</f>
        <v>2333.3330000000001</v>
      </c>
      <c r="J10" s="75">
        <f t="shared" si="1"/>
        <v>1.9719999999999998</v>
      </c>
      <c r="K10" s="67">
        <f t="shared" si="2"/>
        <v>13803.998028</v>
      </c>
    </row>
    <row r="11" spans="1:17" ht="16">
      <c r="B11" s="56"/>
      <c r="C11" s="56" t="s">
        <v>54</v>
      </c>
      <c r="D11" s="57" t="s">
        <v>71</v>
      </c>
      <c r="E11" s="58" t="s">
        <v>373</v>
      </c>
      <c r="F11" s="59">
        <f>1/3</f>
        <v>0.33333333333333331</v>
      </c>
      <c r="G11" s="60">
        <f>3500+3500</f>
        <v>7000</v>
      </c>
      <c r="H11" s="61">
        <f>ROUND(F11*G11,3)</f>
        <v>2333.3330000000001</v>
      </c>
      <c r="J11" s="75">
        <f>F11*$F$4</f>
        <v>1.9719999999999998</v>
      </c>
      <c r="K11" s="67">
        <f>H11*$F$4</f>
        <v>13803.998028</v>
      </c>
    </row>
    <row r="12" spans="1:17" ht="16">
      <c r="B12" s="56"/>
      <c r="C12" s="56" t="s">
        <v>54</v>
      </c>
      <c r="D12" s="57" t="s">
        <v>76</v>
      </c>
      <c r="E12" s="58" t="s">
        <v>368</v>
      </c>
      <c r="F12" s="59">
        <f>1/50</f>
        <v>0.02</v>
      </c>
      <c r="G12" s="60">
        <v>50000</v>
      </c>
      <c r="H12" s="61">
        <f>ROUND(F12*G12,3)</f>
        <v>1000</v>
      </c>
      <c r="J12" s="75">
        <f>F12*$F$4</f>
        <v>0.11831999999999999</v>
      </c>
      <c r="K12" s="67">
        <f>H12*$F$4</f>
        <v>5915.9999999999991</v>
      </c>
    </row>
    <row r="13" spans="1:17" ht="16">
      <c r="B13" s="62"/>
      <c r="C13" s="62"/>
      <c r="D13" s="63"/>
      <c r="E13" s="64" t="s">
        <v>405</v>
      </c>
      <c r="F13" s="120">
        <f>$F$4</f>
        <v>5.9159999999999995</v>
      </c>
      <c r="G13" s="65">
        <f>SUM(H5:H12)</f>
        <v>141504.26700000002</v>
      </c>
      <c r="H13" s="65">
        <f t="shared" ref="H13" si="3">ROUND(F13*G13,3)</f>
        <v>837139.24399999995</v>
      </c>
      <c r="K13" s="76">
        <f>SUM(K5:K12)</f>
        <v>837139.24357199983</v>
      </c>
    </row>
    <row r="15" spans="1:17">
      <c r="C15" s="66"/>
    </row>
  </sheetData>
  <dataValidations count="1">
    <dataValidation type="list" allowBlank="1" showErrorMessage="1" sqref="C13 C4" xr:uid="{E6DF4C73-085A-4ABA-9402-4A2F5940AFA1}">
      <formula1>"Capítulo,Partida,Mano de obra,Maquinaria,Material,Otros,Tarea"</formula1>
    </dataValidation>
  </dataValidations>
  <hyperlinks>
    <hyperlink ref="B1" location="'01.- Presupuesto'!A1" display="02.- Presupuesto'!A1" xr:uid="{C824C2F4-5200-514F-B80B-48EAE9C04BCA}"/>
  </hyperlinks>
  <pageMargins left="0.7" right="0.7" top="0.75" bottom="0.75" header="0.3" footer="0.3"/>
  <pageSetup orientation="portrait" horizontalDpi="0" verticalDpi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A766-EC0F-4A5F-B1C9-E74886B67D56}">
  <sheetPr>
    <tabColor theme="9" tint="0.59999389629810485"/>
  </sheetPr>
  <dimension ref="A1:Q12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142</v>
      </c>
      <c r="C4" s="53" t="s">
        <v>36</v>
      </c>
      <c r="D4" s="148" t="str">
        <f>'01.- Presupuesto'!F60</f>
        <v>m3</v>
      </c>
      <c r="E4" s="149" t="str">
        <f>'01.- Presupuesto'!C60</f>
        <v>Suministro e instalación emplantillado hormigón G5</v>
      </c>
      <c r="F4" s="73">
        <f>'01.- Presupuesto'!G60</f>
        <v>0.49299999999999999</v>
      </c>
      <c r="G4" s="55">
        <f>G10</f>
        <v>120719.806</v>
      </c>
      <c r="H4" s="55">
        <f>H10</f>
        <v>59514.864000000001</v>
      </c>
      <c r="J4" s="74" t="s">
        <v>30</v>
      </c>
      <c r="K4" s="74" t="s">
        <v>37</v>
      </c>
      <c r="M4" s="70">
        <f>SUMIF(C5:C22,"Material",K5:K22)</f>
        <v>53827.835249999996</v>
      </c>
      <c r="N4" s="70">
        <f>SUMIF(C5:C22,"Mano de Obra",K5:K22)</f>
        <v>4739.1907590000001</v>
      </c>
      <c r="O4" s="70">
        <f>SUMIF(C5:C22,"Subcontrato",K5:K22)</f>
        <v>0</v>
      </c>
      <c r="P4" s="70">
        <f>SUMIF(C5:C22,"Ser&amp;Arr",K5:K22)</f>
        <v>947.83834899999999</v>
      </c>
      <c r="Q4" s="71">
        <f>SUM(M4:P4)</f>
        <v>59514.864357999992</v>
      </c>
    </row>
    <row r="5" spans="1:17" ht="16">
      <c r="B5" s="56"/>
      <c r="C5" s="56" t="s">
        <v>38</v>
      </c>
      <c r="D5" s="57" t="s">
        <v>67</v>
      </c>
      <c r="E5" s="58" t="s">
        <v>383</v>
      </c>
      <c r="F5" s="59">
        <v>1.1000000000000001</v>
      </c>
      <c r="G5" s="60">
        <f>HormG5</f>
        <v>98167.5</v>
      </c>
      <c r="H5" s="61">
        <f t="shared" ref="H5:H8" si="0">ROUND(F5*G5,3)</f>
        <v>107984.25</v>
      </c>
      <c r="J5" s="75">
        <f>F5*$F$4</f>
        <v>0.5423</v>
      </c>
      <c r="K5" s="67">
        <f>H5*$F$4</f>
        <v>53236.235249999998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9" si="1">F6*$F$4</f>
        <v>4.9300000000000004E-2</v>
      </c>
      <c r="K6" s="67">
        <f t="shared" ref="K6:K9" si="2">H6*$F$4</f>
        <v>591.6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</f>
        <v>0.33333333333333331</v>
      </c>
      <c r="G7" s="60">
        <f>Maestro</f>
        <v>7250</v>
      </c>
      <c r="H7" s="61">
        <f t="shared" si="0"/>
        <v>2416.6669999999999</v>
      </c>
      <c r="J7" s="75">
        <f t="shared" si="1"/>
        <v>0.16433333333333333</v>
      </c>
      <c r="K7" s="67">
        <f t="shared" si="2"/>
        <v>1191.416831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</f>
        <v>1.3333333333333333</v>
      </c>
      <c r="G8" s="60">
        <f>Jornal</f>
        <v>5397.2222222222226</v>
      </c>
      <c r="H8" s="61">
        <f t="shared" si="0"/>
        <v>7196.2960000000003</v>
      </c>
      <c r="J8" s="75">
        <f t="shared" si="1"/>
        <v>0.65733333333333333</v>
      </c>
      <c r="K8" s="67">
        <f t="shared" si="2"/>
        <v>3547.7739280000001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9612.9629999999997</v>
      </c>
      <c r="H9" s="61">
        <f>ROUND(F9*G9,3)</f>
        <v>1922.5930000000001</v>
      </c>
      <c r="J9" s="75">
        <f t="shared" si="1"/>
        <v>9.8600000000000007E-2</v>
      </c>
      <c r="K9" s="67">
        <f t="shared" si="2"/>
        <v>947.83834899999999</v>
      </c>
    </row>
    <row r="10" spans="1:17" ht="16">
      <c r="B10" s="62"/>
      <c r="C10" s="62"/>
      <c r="D10" s="63"/>
      <c r="E10" s="64" t="s">
        <v>406</v>
      </c>
      <c r="F10" s="120">
        <f>$F$4</f>
        <v>0.49299999999999999</v>
      </c>
      <c r="G10" s="65">
        <f>SUM(H5:H9)</f>
        <v>120719.806</v>
      </c>
      <c r="H10" s="65">
        <f t="shared" ref="H10" si="3">ROUND(F10*G10,3)</f>
        <v>59514.864000000001</v>
      </c>
      <c r="K10" s="76">
        <f>SUM(K5:K9)</f>
        <v>59514.864357999999</v>
      </c>
    </row>
    <row r="12" spans="1:17">
      <c r="C12" s="66"/>
    </row>
  </sheetData>
  <dataValidations count="1">
    <dataValidation type="list" allowBlank="1" showErrorMessage="1" sqref="C10 C4" xr:uid="{5E0EE15F-E888-46F7-8EA8-0386C7CBD20E}">
      <formula1>"Capítulo,Partida,Mano de obra,Maquinaria,Material,Otros,Tarea"</formula1>
    </dataValidation>
  </dataValidations>
  <hyperlinks>
    <hyperlink ref="B1" location="'01.- Presupuesto'!A1" display="02.- Presupuesto'!A1" xr:uid="{A513087B-B88C-3D43-ADA9-2C655E3C1DD1}"/>
  </hyperlinks>
  <pageMargins left="0.7" right="0.7" top="0.75" bottom="0.75" header="0.3" footer="0.3"/>
  <pageSetup orientation="portrait" horizontalDpi="0" verticalDpi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9786-F043-43B2-8EB4-9CB3CF16BDF8}">
  <sheetPr>
    <tabColor theme="9" tint="0.59999389629810485"/>
  </sheetPr>
  <dimension ref="A1:Q15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143</v>
      </c>
      <c r="C4" s="53" t="s">
        <v>36</v>
      </c>
      <c r="D4" s="148" t="str">
        <f>'01.- Presupuesto'!F61</f>
        <v>m3</v>
      </c>
      <c r="E4" s="149" t="str">
        <f>'01.- Presupuesto'!C61</f>
        <v>Suministro e Instalación relleno estructural compactado al 95% DMSC</v>
      </c>
      <c r="F4" s="73">
        <f>'01.- Presupuesto'!G61</f>
        <v>7.6415000000000006</v>
      </c>
      <c r="G4" s="55">
        <f>G13</f>
        <v>84110.440999999992</v>
      </c>
      <c r="H4" s="55">
        <f>H13</f>
        <v>642729.93500000006</v>
      </c>
      <c r="J4" s="74" t="s">
        <v>30</v>
      </c>
      <c r="K4" s="74" t="s">
        <v>37</v>
      </c>
      <c r="M4" s="70">
        <f>SUMIF(C5:C25,"Material",K5:K25)</f>
        <v>198679.00000000003</v>
      </c>
      <c r="N4" s="70">
        <f>SUMIF(C5:C25,"Mano de Obra",K5:K25)</f>
        <v>11018.615076000002</v>
      </c>
      <c r="O4" s="70">
        <f>SUMIF(C5:C25,"Subcontrato",K5:K25)</f>
        <v>0</v>
      </c>
      <c r="P4" s="70">
        <f>SUMIF(C5:C25,"Ser&amp;Arr",K5:K25)</f>
        <v>433032.31982550002</v>
      </c>
      <c r="Q4" s="71">
        <f>SUM(M4:P4)</f>
        <v>642729.93490150012</v>
      </c>
    </row>
    <row r="5" spans="1:17" ht="16">
      <c r="B5" s="56"/>
      <c r="C5" s="56" t="s">
        <v>38</v>
      </c>
      <c r="D5" s="57" t="s">
        <v>67</v>
      </c>
      <c r="E5" s="58" t="s">
        <v>362</v>
      </c>
      <c r="F5" s="59">
        <v>1.3</v>
      </c>
      <c r="G5" s="60">
        <f>Base50</f>
        <v>20000</v>
      </c>
      <c r="H5" s="61">
        <f t="shared" ref="H5:H12" si="0">ROUND(F5*G5,3)</f>
        <v>26000</v>
      </c>
      <c r="J5" s="75">
        <f>F5*$F$4</f>
        <v>9.9339500000000012</v>
      </c>
      <c r="K5" s="67">
        <f>H5*$F$4</f>
        <v>198679.00000000003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1/20</f>
        <v>0.05</v>
      </c>
      <c r="G6" s="60">
        <f>Maestro</f>
        <v>7250</v>
      </c>
      <c r="H6" s="61">
        <f t="shared" si="0"/>
        <v>362.5</v>
      </c>
      <c r="J6" s="75">
        <f t="shared" ref="J6:J10" si="1">F6*$F$4</f>
        <v>0.38207500000000005</v>
      </c>
      <c r="K6" s="67">
        <f t="shared" ref="K6:K10" si="2">H6*$F$4</f>
        <v>2770.0437500000003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4*1/20</f>
        <v>0.2</v>
      </c>
      <c r="G7" s="60">
        <f>Jornal</f>
        <v>5397.2222222222226</v>
      </c>
      <c r="H7" s="61">
        <f t="shared" si="0"/>
        <v>1079.444</v>
      </c>
      <c r="J7" s="75">
        <f t="shared" si="1"/>
        <v>1.5283000000000002</v>
      </c>
      <c r="K7" s="67">
        <f t="shared" si="2"/>
        <v>8248.5713260000011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1441.944</v>
      </c>
      <c r="H8" s="61">
        <f>ROUND(F8*G8,3)</f>
        <v>288.38900000000001</v>
      </c>
      <c r="J8" s="75">
        <f t="shared" si="1"/>
        <v>1.5283000000000002</v>
      </c>
      <c r="K8" s="67">
        <f t="shared" si="2"/>
        <v>2203.7245435000004</v>
      </c>
    </row>
    <row r="9" spans="1:17" ht="16">
      <c r="B9" s="56"/>
      <c r="C9" s="56" t="s">
        <v>54</v>
      </c>
      <c r="D9" s="57" t="s">
        <v>348</v>
      </c>
      <c r="E9" s="58" t="s">
        <v>350</v>
      </c>
      <c r="F9" s="59">
        <f>1/20</f>
        <v>0.05</v>
      </c>
      <c r="G9" s="60">
        <f>Retroexcavadora</f>
        <v>32000</v>
      </c>
      <c r="H9" s="61">
        <f t="shared" si="0"/>
        <v>1600</v>
      </c>
      <c r="J9" s="75">
        <f t="shared" si="1"/>
        <v>0.38207500000000005</v>
      </c>
      <c r="K9" s="67">
        <f t="shared" si="2"/>
        <v>12226.400000000001</v>
      </c>
    </row>
    <row r="10" spans="1:17" ht="16">
      <c r="B10" s="56"/>
      <c r="C10" s="56" t="s">
        <v>54</v>
      </c>
      <c r="D10" s="57" t="s">
        <v>71</v>
      </c>
      <c r="E10" s="58" t="s">
        <v>385</v>
      </c>
      <c r="F10" s="59">
        <f>1/20/8</f>
        <v>6.2500000000000003E-3</v>
      </c>
      <c r="G10" s="60">
        <v>25000</v>
      </c>
      <c r="H10" s="61">
        <f t="shared" si="0"/>
        <v>156.25</v>
      </c>
      <c r="J10" s="75">
        <f t="shared" si="1"/>
        <v>4.7759375000000007E-2</v>
      </c>
      <c r="K10" s="67">
        <f t="shared" si="2"/>
        <v>1193.984375</v>
      </c>
    </row>
    <row r="11" spans="1:17" ht="16">
      <c r="B11" s="56"/>
      <c r="C11" s="56" t="s">
        <v>54</v>
      </c>
      <c r="D11" s="57" t="s">
        <v>76</v>
      </c>
      <c r="E11" s="58" t="s">
        <v>358</v>
      </c>
      <c r="F11" s="59">
        <f>1/F4</f>
        <v>0.13086435909180133</v>
      </c>
      <c r="G11" s="60">
        <f>(0.6+4.4)*UF</f>
        <v>196335</v>
      </c>
      <c r="H11" s="61">
        <f t="shared" si="0"/>
        <v>25693.254000000001</v>
      </c>
      <c r="J11" s="75">
        <f>F11*$F$4</f>
        <v>1</v>
      </c>
      <c r="K11" s="67">
        <f>H11*$F$4</f>
        <v>196335.00044100001</v>
      </c>
    </row>
    <row r="12" spans="1:17" ht="16">
      <c r="B12" s="56"/>
      <c r="C12" s="56" t="s">
        <v>54</v>
      </c>
      <c r="D12" s="57" t="s">
        <v>76</v>
      </c>
      <c r="E12" s="58" t="s">
        <v>386</v>
      </c>
      <c r="F12" s="59">
        <f>3/F4</f>
        <v>0.39259307727540399</v>
      </c>
      <c r="G12" s="60">
        <f>(0.41+4.4/3)*UF</f>
        <v>73691.070000000007</v>
      </c>
      <c r="H12" s="61">
        <f t="shared" si="0"/>
        <v>28930.603999999999</v>
      </c>
      <c r="J12" s="75">
        <f>F12*$F$4</f>
        <v>3</v>
      </c>
      <c r="K12" s="67">
        <f>H12*$F$4</f>
        <v>221073.21046600002</v>
      </c>
    </row>
    <row r="13" spans="1:17" ht="16">
      <c r="B13" s="62"/>
      <c r="C13" s="62"/>
      <c r="D13" s="63"/>
      <c r="E13" s="64" t="s">
        <v>407</v>
      </c>
      <c r="F13" s="120">
        <f>$F$4</f>
        <v>7.6415000000000006</v>
      </c>
      <c r="G13" s="65">
        <f>SUM(H5:H12)</f>
        <v>84110.440999999992</v>
      </c>
      <c r="H13" s="65">
        <f t="shared" ref="H13" si="3">ROUND(F13*G13,3)</f>
        <v>642729.93500000006</v>
      </c>
      <c r="K13" s="76">
        <f>SUM(K5:K12)</f>
        <v>642729.93490150012</v>
      </c>
    </row>
    <row r="15" spans="1:17">
      <c r="C15" s="66"/>
    </row>
  </sheetData>
  <dataValidations count="1">
    <dataValidation type="list" allowBlank="1" showErrorMessage="1" sqref="C13 C4" xr:uid="{B3C2577B-A88E-4E2B-A1D7-7F8F0B7D1A01}">
      <formula1>"Capítulo,Partida,Mano de obra,Maquinaria,Material,Otros,Tarea"</formula1>
    </dataValidation>
  </dataValidations>
  <hyperlinks>
    <hyperlink ref="B1" location="'01.- Presupuesto'!A1" display="02.- Presupuesto'!A1" xr:uid="{2F7E8E7F-04EB-DF48-A552-B6CC1DE911BF}"/>
  </hyperlinks>
  <pageMargins left="0.7" right="0.7" top="0.75" bottom="0.75" header="0.3" footer="0.3"/>
  <pageSetup orientation="portrait" horizontalDpi="0" verticalDpi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36D1-F8AE-4742-AD03-E1597548F20A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144</v>
      </c>
      <c r="C4" s="53" t="s">
        <v>36</v>
      </c>
      <c r="D4" s="148" t="str">
        <f>'01.- Presupuesto'!F62</f>
        <v>m3</v>
      </c>
      <c r="E4" s="149" t="str">
        <f>'01.- Presupuesto'!C62</f>
        <v>Excavación maquinaría local y traslado a botadero, hasta 20 Km</v>
      </c>
      <c r="F4" s="73">
        <f>'01.- Presupuesto'!G62</f>
        <v>15.283000000000001</v>
      </c>
      <c r="G4" s="55">
        <f>G9</f>
        <v>25500</v>
      </c>
      <c r="H4" s="55">
        <f>H9</f>
        <v>389716.5</v>
      </c>
      <c r="J4" s="74" t="s">
        <v>30</v>
      </c>
      <c r="K4" s="74" t="s">
        <v>37</v>
      </c>
      <c r="M4" s="70">
        <f>SUMIF(C5:C21,"Material",K5:K21)</f>
        <v>0</v>
      </c>
      <c r="N4" s="70">
        <f>SUMIF(C5:C21,"Mano de Obra",K5:K21)</f>
        <v>0</v>
      </c>
      <c r="O4" s="70">
        <f>SUMIF(C5:C21,"Subcontrato",K5:K21)</f>
        <v>0</v>
      </c>
      <c r="P4" s="70">
        <f>SUMIF(C5:C21,"Ser&amp;Arr",K5:K21)</f>
        <v>389716.5</v>
      </c>
      <c r="Q4" s="71">
        <f>SUM(M4:P4)</f>
        <v>389716.5</v>
      </c>
    </row>
    <row r="5" spans="1:17" ht="16">
      <c r="B5" s="56"/>
      <c r="C5" s="56" t="s">
        <v>54</v>
      </c>
      <c r="D5" s="57" t="s">
        <v>348</v>
      </c>
      <c r="E5" s="58" t="s">
        <v>353</v>
      </c>
      <c r="F5" s="59">
        <f>1/20</f>
        <v>0.05</v>
      </c>
      <c r="G5" s="60">
        <f>Excavadora</f>
        <v>50000</v>
      </c>
      <c r="H5" s="61">
        <f t="shared" ref="H5:H8" si="0">ROUND(F5*G5,3)</f>
        <v>2500</v>
      </c>
      <c r="J5" s="75">
        <f>F5*$F$4</f>
        <v>0.76415000000000011</v>
      </c>
      <c r="K5" s="67">
        <f>H5*$F$4</f>
        <v>38207.5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8" si="1">F6*$F$4</f>
        <v>0.76415000000000011</v>
      </c>
      <c r="K6" s="67">
        <f t="shared" ref="K6:K8" si="2">H6*$F$4</f>
        <v>24452.800000000003</v>
      </c>
    </row>
    <row r="7" spans="1:17" ht="16">
      <c r="B7" s="56"/>
      <c r="C7" s="56" t="s">
        <v>54</v>
      </c>
      <c r="D7" s="57" t="s">
        <v>348</v>
      </c>
      <c r="E7" s="58" t="s">
        <v>349</v>
      </c>
      <c r="F7" s="59">
        <f>1/20</f>
        <v>0.05</v>
      </c>
      <c r="G7" s="60">
        <f>Tolva</f>
        <v>38000</v>
      </c>
      <c r="H7" s="61">
        <f t="shared" si="0"/>
        <v>1900</v>
      </c>
      <c r="J7" s="75">
        <f t="shared" si="1"/>
        <v>0.76415000000000011</v>
      </c>
      <c r="K7" s="67">
        <f t="shared" si="2"/>
        <v>29037.7</v>
      </c>
    </row>
    <row r="8" spans="1:17" ht="16">
      <c r="B8" s="56"/>
      <c r="C8" s="56" t="s">
        <v>54</v>
      </c>
      <c r="D8" s="57" t="s">
        <v>67</v>
      </c>
      <c r="E8" s="58" t="s">
        <v>70</v>
      </c>
      <c r="F8" s="59">
        <v>1.3</v>
      </c>
      <c r="G8" s="60">
        <v>15000</v>
      </c>
      <c r="H8" s="61">
        <f t="shared" si="0"/>
        <v>19500</v>
      </c>
      <c r="J8" s="75">
        <f t="shared" si="1"/>
        <v>19.867900000000002</v>
      </c>
      <c r="K8" s="67">
        <f t="shared" si="2"/>
        <v>298018.5</v>
      </c>
    </row>
    <row r="9" spans="1:17" ht="16">
      <c r="B9" s="62"/>
      <c r="C9" s="62"/>
      <c r="D9" s="63"/>
      <c r="E9" s="64" t="s">
        <v>408</v>
      </c>
      <c r="F9" s="120">
        <f>$F$4</f>
        <v>15.283000000000001</v>
      </c>
      <c r="G9" s="65">
        <f>SUM(H5:H8)</f>
        <v>25500</v>
      </c>
      <c r="H9" s="65">
        <f t="shared" ref="H9" si="3">ROUND(F9*G9,3)</f>
        <v>389716.5</v>
      </c>
      <c r="K9" s="76">
        <f>SUM(K5:K8)</f>
        <v>389716.5</v>
      </c>
    </row>
    <row r="11" spans="1:17">
      <c r="C11" s="66"/>
    </row>
  </sheetData>
  <dataValidations count="1">
    <dataValidation type="list" allowBlank="1" showErrorMessage="1" sqref="C9 C4" xr:uid="{E73A02A9-ABF5-4241-A683-2C62AADF6C7A}">
      <formula1>"Capítulo,Partida,Mano de obra,Maquinaria,Material,Otros,Tarea"</formula1>
    </dataValidation>
  </dataValidations>
  <hyperlinks>
    <hyperlink ref="B1" location="'01.- Presupuesto'!A1" display="02.- Presupuesto'!A1" xr:uid="{F8A5E69F-FB43-154F-8790-D22FBFE722A3}"/>
  </hyperlinks>
  <pageMargins left="0.7" right="0.7" top="0.75" bottom="0.75" header="0.3" footer="0.3"/>
  <pageSetup orientation="portrait" horizontalDpi="0" verticalDpi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54E4-893B-4236-9ED7-07DE06CAFCA6}">
  <sheetPr>
    <tabColor theme="9" tint="0.59999389629810485"/>
  </sheetPr>
  <dimension ref="A1:Q14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145</v>
      </c>
      <c r="C4" s="53" t="s">
        <v>36</v>
      </c>
      <c r="D4" s="148" t="str">
        <f>'01.- Presupuesto'!F63</f>
        <v>m2</v>
      </c>
      <c r="E4" s="149" t="str">
        <f>'01.- Presupuesto'!C63</f>
        <v>Suministro y construcción moldajes de madera o metálicos</v>
      </c>
      <c r="F4" s="73">
        <f>'01.- Presupuesto'!G63</f>
        <v>26.16</v>
      </c>
      <c r="G4" s="55">
        <f>G12</f>
        <v>16475.795999999998</v>
      </c>
      <c r="H4" s="55">
        <f>H12</f>
        <v>431006.82299999997</v>
      </c>
      <c r="J4" s="74" t="s">
        <v>30</v>
      </c>
      <c r="K4" s="74" t="s">
        <v>37</v>
      </c>
      <c r="M4" s="70">
        <f>SUMIF(C5:C24,"Material",K5:K24)</f>
        <v>309624.42336000002</v>
      </c>
      <c r="N4" s="70">
        <f>SUMIF(C5:C24,"Mano de Obra",K5:K24)</f>
        <v>101152.00872</v>
      </c>
      <c r="O4" s="70">
        <f>SUMIF(C5:C24,"Subcontrato",K5:K24)</f>
        <v>0</v>
      </c>
      <c r="P4" s="70">
        <f>SUMIF(C5:C24,"Ser&amp;Arr",K5:K24)</f>
        <v>20230.39128</v>
      </c>
      <c r="Q4" s="71">
        <f>SUM(M4:P4)</f>
        <v>431006.82335999998</v>
      </c>
    </row>
    <row r="5" spans="1:17" ht="16">
      <c r="B5" s="56"/>
      <c r="C5" s="56" t="s">
        <v>38</v>
      </c>
      <c r="D5" s="57" t="s">
        <v>39</v>
      </c>
      <c r="E5" s="58" t="s">
        <v>390</v>
      </c>
      <c r="F5" s="59">
        <f>1/0.48</f>
        <v>2.0833333333333335</v>
      </c>
      <c r="G5" s="60">
        <v>2400</v>
      </c>
      <c r="H5" s="61">
        <f t="shared" ref="H5:H10" si="0">ROUND(F5*G5,3)</f>
        <v>5000</v>
      </c>
      <c r="J5" s="75">
        <f>F5*$F$4</f>
        <v>54.500000000000007</v>
      </c>
      <c r="K5" s="67">
        <f>H5*$F$4</f>
        <v>130800</v>
      </c>
    </row>
    <row r="6" spans="1:17" ht="16">
      <c r="B6" s="56"/>
      <c r="C6" s="56" t="s">
        <v>38</v>
      </c>
      <c r="D6" s="57" t="s">
        <v>39</v>
      </c>
      <c r="E6" s="58" t="s">
        <v>391</v>
      </c>
      <c r="F6" s="59">
        <f>1.05*1/(1.22*2.44)</f>
        <v>0.35272776135447464</v>
      </c>
      <c r="G6" s="60">
        <v>16966</v>
      </c>
      <c r="H6" s="61">
        <f t="shared" si="0"/>
        <v>5984.3789999999999</v>
      </c>
      <c r="J6" s="75">
        <f t="shared" ref="J6:J10" si="1">F6*$F$4</f>
        <v>9.2273582370330569</v>
      </c>
      <c r="K6" s="67">
        <f t="shared" ref="K6:K10" si="2">H6*$F$4</f>
        <v>156551.35464000001</v>
      </c>
    </row>
    <row r="7" spans="1:17" ht="16">
      <c r="B7" s="56"/>
      <c r="C7" s="56" t="s">
        <v>38</v>
      </c>
      <c r="D7" s="57" t="s">
        <v>75</v>
      </c>
      <c r="E7" s="58" t="s">
        <v>392</v>
      </c>
      <c r="F7" s="59">
        <f>1/4</f>
        <v>0.25</v>
      </c>
      <c r="G7" s="60">
        <v>1184</v>
      </c>
      <c r="H7" s="61">
        <f t="shared" si="0"/>
        <v>296</v>
      </c>
      <c r="J7" s="75">
        <f t="shared" si="1"/>
        <v>6.54</v>
      </c>
      <c r="K7" s="67">
        <f t="shared" si="2"/>
        <v>7743.36</v>
      </c>
    </row>
    <row r="8" spans="1:17" ht="16">
      <c r="B8" s="56"/>
      <c r="C8" s="56" t="s">
        <v>38</v>
      </c>
      <c r="D8" s="57" t="s">
        <v>39</v>
      </c>
      <c r="E8" s="58" t="s">
        <v>393</v>
      </c>
      <c r="F8" s="59">
        <f>1/72</f>
        <v>1.3888888888888888E-2</v>
      </c>
      <c r="G8" s="60">
        <v>39990</v>
      </c>
      <c r="H8" s="61">
        <f t="shared" si="0"/>
        <v>555.41700000000003</v>
      </c>
      <c r="J8" s="75">
        <f t="shared" si="1"/>
        <v>0.36333333333333334</v>
      </c>
      <c r="K8" s="67">
        <f t="shared" si="2"/>
        <v>14529.708720000001</v>
      </c>
    </row>
    <row r="9" spans="1:17" ht="16">
      <c r="B9" s="56"/>
      <c r="C9" s="56" t="s">
        <v>40</v>
      </c>
      <c r="D9" s="57" t="s">
        <v>41</v>
      </c>
      <c r="E9" s="58" t="s">
        <v>90</v>
      </c>
      <c r="F9" s="59">
        <f>0.3</f>
        <v>0.3</v>
      </c>
      <c r="G9" s="60">
        <f>Maestro</f>
        <v>7250</v>
      </c>
      <c r="H9" s="61">
        <f t="shared" si="0"/>
        <v>2175</v>
      </c>
      <c r="J9" s="75">
        <f t="shared" si="1"/>
        <v>7.8479999999999999</v>
      </c>
      <c r="K9" s="67">
        <f t="shared" si="2"/>
        <v>56898</v>
      </c>
    </row>
    <row r="10" spans="1:17" ht="16">
      <c r="B10" s="56"/>
      <c r="C10" s="56" t="s">
        <v>40</v>
      </c>
      <c r="D10" s="57" t="s">
        <v>41</v>
      </c>
      <c r="E10" s="58" t="s">
        <v>91</v>
      </c>
      <c r="F10" s="59">
        <f>0.3</f>
        <v>0.3</v>
      </c>
      <c r="G10" s="60">
        <f>Ayudante</f>
        <v>5638.8888888888887</v>
      </c>
      <c r="H10" s="61">
        <f t="shared" si="0"/>
        <v>1691.6669999999999</v>
      </c>
      <c r="J10" s="75">
        <f t="shared" si="1"/>
        <v>7.8479999999999999</v>
      </c>
      <c r="K10" s="67">
        <f t="shared" si="2"/>
        <v>44254.008719999998</v>
      </c>
    </row>
    <row r="11" spans="1:17" ht="16">
      <c r="B11" s="56"/>
      <c r="C11" s="56" t="s">
        <v>54</v>
      </c>
      <c r="D11" s="57" t="s">
        <v>42</v>
      </c>
      <c r="E11" s="58" t="s">
        <v>55</v>
      </c>
      <c r="F11" s="59">
        <v>0.2</v>
      </c>
      <c r="G11" s="60">
        <f>SUM(H9:H10)</f>
        <v>3866.6669999999999</v>
      </c>
      <c r="H11" s="61">
        <f>ROUND(F11*G11,3)</f>
        <v>773.33299999999997</v>
      </c>
      <c r="J11" s="75">
        <f>F11*$F$4</f>
        <v>5.2320000000000002</v>
      </c>
      <c r="K11" s="67">
        <f>H11*$F$4</f>
        <v>20230.39128</v>
      </c>
    </row>
    <row r="12" spans="1:17" ht="16">
      <c r="B12" s="62"/>
      <c r="C12" s="62"/>
      <c r="D12" s="63"/>
      <c r="E12" s="64" t="s">
        <v>409</v>
      </c>
      <c r="F12" s="120">
        <f>$F$4</f>
        <v>26.16</v>
      </c>
      <c r="G12" s="65">
        <f>SUM(H5:H11)</f>
        <v>16475.795999999998</v>
      </c>
      <c r="H12" s="65">
        <f t="shared" ref="H12" si="3">ROUND(F12*G12,3)</f>
        <v>431006.82299999997</v>
      </c>
      <c r="K12" s="76">
        <f>SUM(K5:K11)</f>
        <v>431006.82335999998</v>
      </c>
    </row>
    <row r="14" spans="1:17">
      <c r="C14" s="66"/>
    </row>
  </sheetData>
  <dataValidations count="1">
    <dataValidation type="list" allowBlank="1" showErrorMessage="1" sqref="C12 C4" xr:uid="{539F952A-A4A2-461F-8D22-B51AF912F0B4}">
      <formula1>"Capítulo,Partida,Mano de obra,Maquinaria,Material,Otros,Tarea"</formula1>
    </dataValidation>
  </dataValidations>
  <hyperlinks>
    <hyperlink ref="B1" location="'01.- Presupuesto'!A1" display="02.- Presupuesto'!A1" xr:uid="{E96636A0-8197-E54B-BBE6-A421197A6A7F}"/>
  </hyperlinks>
  <pageMargins left="0.7" right="0.7" top="0.75" bottom="0.75" header="0.3" footer="0.3"/>
  <pageSetup orientation="portrait" horizontalDpi="0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D858-EE55-4B44-80AB-23C70B70385B}">
  <sheetPr>
    <tabColor theme="9" tint="0.59999389629810485"/>
  </sheetPr>
  <dimension ref="A1:Q10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146</v>
      </c>
      <c r="C4" s="53" t="s">
        <v>36</v>
      </c>
      <c r="D4" s="148" t="str">
        <f>'01.- Presupuesto'!F64</f>
        <v>kg</v>
      </c>
      <c r="E4" s="149" t="str">
        <f>'01.- Presupuesto'!C64</f>
        <v>Suministro e instalación armadura A630-420H, diámetro 12mm</v>
      </c>
      <c r="F4" s="73">
        <f>'01.- Presupuesto'!G64</f>
        <v>392</v>
      </c>
      <c r="G4" s="55">
        <f>G8</f>
        <v>1644.3330000000001</v>
      </c>
      <c r="H4" s="55">
        <f>H8</f>
        <v>644578.53599999996</v>
      </c>
      <c r="J4" s="74" t="s">
        <v>30</v>
      </c>
      <c r="K4" s="74" t="s">
        <v>37</v>
      </c>
      <c r="M4" s="70">
        <f>SUMIF(C5:C20,"Material",K5:K20)</f>
        <v>409378.53600000002</v>
      </c>
      <c r="N4" s="70">
        <f>SUMIF(C5:C20,"Mano de Obra",K5:K20)</f>
        <v>0</v>
      </c>
      <c r="O4" s="70">
        <f>SUMIF(C5:C20,"Subcontrato",K5:K20)</f>
        <v>235200</v>
      </c>
      <c r="P4" s="70">
        <f>SUMIF(C5:C20,"Ser&amp;Arr",K5:K20)</f>
        <v>0</v>
      </c>
      <c r="Q4" s="71">
        <f>SUM(M4:P4)</f>
        <v>644578.53600000008</v>
      </c>
    </row>
    <row r="5" spans="1:17" ht="16">
      <c r="B5" s="56"/>
      <c r="C5" s="56" t="s">
        <v>38</v>
      </c>
      <c r="D5" s="57" t="s">
        <v>396</v>
      </c>
      <c r="E5" s="58" t="s">
        <v>395</v>
      </c>
      <c r="F5" s="59">
        <v>1.1000000000000001</v>
      </c>
      <c r="G5" s="60">
        <v>900</v>
      </c>
      <c r="H5" s="61">
        <f t="shared" ref="H5:H7" si="0">ROUND(F5*G5,3)</f>
        <v>990</v>
      </c>
      <c r="J5" s="75">
        <f>F5*$F$4</f>
        <v>431.20000000000005</v>
      </c>
      <c r="K5" s="67">
        <f>H5*$F$4</f>
        <v>388080</v>
      </c>
    </row>
    <row r="6" spans="1:17" ht="16">
      <c r="B6" s="56"/>
      <c r="C6" s="56" t="s">
        <v>38</v>
      </c>
      <c r="D6" s="57" t="s">
        <v>396</v>
      </c>
      <c r="E6" s="58" t="s">
        <v>397</v>
      </c>
      <c r="F6" s="59">
        <f>1/30</f>
        <v>3.3333333333333333E-2</v>
      </c>
      <c r="G6" s="60">
        <v>1630</v>
      </c>
      <c r="H6" s="61">
        <f t="shared" si="0"/>
        <v>54.332999999999998</v>
      </c>
      <c r="J6" s="75">
        <f t="shared" ref="J6:J7" si="1">F6*$F$4</f>
        <v>13.066666666666666</v>
      </c>
      <c r="K6" s="67">
        <f t="shared" ref="K6:K7" si="2">H6*$F$4</f>
        <v>21298.536</v>
      </c>
    </row>
    <row r="7" spans="1:17" ht="16">
      <c r="B7" s="56"/>
      <c r="C7" s="56" t="s">
        <v>94</v>
      </c>
      <c r="D7" s="57" t="s">
        <v>396</v>
      </c>
      <c r="E7" s="58" t="s">
        <v>482</v>
      </c>
      <c r="F7" s="59">
        <v>1</v>
      </c>
      <c r="G7" s="60">
        <f>Enf</f>
        <v>600</v>
      </c>
      <c r="H7" s="61">
        <f t="shared" si="0"/>
        <v>600</v>
      </c>
      <c r="J7" s="75">
        <f t="shared" si="1"/>
        <v>392</v>
      </c>
      <c r="K7" s="67">
        <f t="shared" si="2"/>
        <v>235200</v>
      </c>
    </row>
    <row r="8" spans="1:17" ht="16">
      <c r="B8" s="62"/>
      <c r="C8" s="62"/>
      <c r="D8" s="63"/>
      <c r="E8" s="64" t="s">
        <v>410</v>
      </c>
      <c r="F8" s="120">
        <f>$F$4</f>
        <v>392</v>
      </c>
      <c r="G8" s="65">
        <f>SUM(H5:H7)</f>
        <v>1644.3330000000001</v>
      </c>
      <c r="H8" s="65">
        <f t="shared" ref="H8" si="3">ROUND(F8*G8,3)</f>
        <v>644578.53599999996</v>
      </c>
      <c r="K8" s="76">
        <f>SUM(K5:K7)</f>
        <v>644578.53600000008</v>
      </c>
    </row>
    <row r="10" spans="1:17">
      <c r="C10" s="66"/>
    </row>
  </sheetData>
  <dataValidations count="1">
    <dataValidation type="list" allowBlank="1" showErrorMessage="1" sqref="C8 C4" xr:uid="{56436958-DFC6-45F1-BC2E-23EEBD17DC5D}">
      <formula1>"Capítulo,Partida,Mano de obra,Maquinaria,Material,Otros,Tarea"</formula1>
    </dataValidation>
  </dataValidations>
  <hyperlinks>
    <hyperlink ref="B1" location="'01.- Presupuesto'!A1" display="02.- Presupuesto'!A1" xr:uid="{43A56920-433D-E64F-85AC-89C71E403489}"/>
  </hyperlinks>
  <pageMargins left="0.7" right="0.7" top="0.75" bottom="0.75" header="0.3" footer="0.3"/>
  <pageSetup orientation="portrait" horizontalDpi="0" verticalDpi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8BB8-2B8C-4348-AF8F-3505F50DFCFC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147</v>
      </c>
      <c r="C4" s="53" t="s">
        <v>36</v>
      </c>
      <c r="D4" s="148" t="str">
        <f>'01.- Presupuesto'!F65</f>
        <v>un</v>
      </c>
      <c r="E4" s="149" t="str">
        <f>'01.- Presupuesto'!C65</f>
        <v>Suministro e instalación de pernos de anclaje químico</v>
      </c>
      <c r="F4" s="73">
        <f>'01.- Presupuesto'!G65</f>
        <v>64</v>
      </c>
      <c r="G4" s="55">
        <f>G9</f>
        <v>11342.214</v>
      </c>
      <c r="H4" s="55">
        <f>H9</f>
        <v>725901.696</v>
      </c>
      <c r="J4" s="74" t="s">
        <v>30</v>
      </c>
      <c r="K4" s="74" t="s">
        <v>37</v>
      </c>
      <c r="M4" s="70">
        <f>SUMIF(C5:C21,"Material",K5:K21)</f>
        <v>633101.696</v>
      </c>
      <c r="N4" s="70">
        <f>SUMIF(C5:C21,"Mano de Obra",K5:K21)</f>
        <v>77333.312000000005</v>
      </c>
      <c r="O4" s="70">
        <f>SUMIF(C5:C21,"Subcontrato",K5:K21)</f>
        <v>0</v>
      </c>
      <c r="P4" s="70">
        <f>SUMIF(C5:C21,"Ser&amp;Arr",K5:K21)</f>
        <v>15466.688</v>
      </c>
      <c r="Q4" s="71">
        <f>SUM(M4:P4)</f>
        <v>725901.696</v>
      </c>
    </row>
    <row r="5" spans="1:17" ht="16">
      <c r="B5" s="56"/>
      <c r="C5" s="56" t="s">
        <v>38</v>
      </c>
      <c r="D5" s="57" t="s">
        <v>39</v>
      </c>
      <c r="E5" s="58" t="s">
        <v>435</v>
      </c>
      <c r="F5" s="59">
        <v>1</v>
      </c>
      <c r="G5" s="60">
        <v>9600</v>
      </c>
      <c r="H5" s="61">
        <f t="shared" ref="H5:H7" si="0">ROUND(F5*G5,3)</f>
        <v>9600</v>
      </c>
      <c r="J5" s="75">
        <f>F5*$F$4</f>
        <v>64</v>
      </c>
      <c r="K5" s="67">
        <f>H5*$F$4</f>
        <v>614400</v>
      </c>
    </row>
    <row r="6" spans="1:17" ht="16">
      <c r="B6" s="56"/>
      <c r="C6" s="56" t="s">
        <v>38</v>
      </c>
      <c r="D6" s="57" t="s">
        <v>39</v>
      </c>
      <c r="E6" s="58" t="s">
        <v>433</v>
      </c>
      <c r="F6" s="59">
        <f>1.1*1/49</f>
        <v>2.2448979591836737E-2</v>
      </c>
      <c r="G6" s="60">
        <f>15490/1.19</f>
        <v>13016.806722689076</v>
      </c>
      <c r="H6" s="61">
        <f t="shared" si="0"/>
        <v>292.214</v>
      </c>
      <c r="J6" s="75">
        <f t="shared" ref="J6:J8" si="1">F6*$F$4</f>
        <v>1.4367346938775512</v>
      </c>
      <c r="K6" s="67">
        <f t="shared" ref="K6:K8" si="2">H6*$F$4</f>
        <v>18701.696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1/6</f>
        <v>0.16666666666666666</v>
      </c>
      <c r="G7" s="60">
        <f>Maestro</f>
        <v>7250</v>
      </c>
      <c r="H7" s="61">
        <f t="shared" si="0"/>
        <v>1208.3330000000001</v>
      </c>
      <c r="J7" s="75">
        <f t="shared" si="1"/>
        <v>10.666666666666666</v>
      </c>
      <c r="K7" s="67">
        <f t="shared" si="2"/>
        <v>77333.312000000005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SUM(H7:H7)</f>
        <v>1208.3330000000001</v>
      </c>
      <c r="H8" s="61">
        <f>ROUND(F8*G8,3)</f>
        <v>241.667</v>
      </c>
      <c r="J8" s="75">
        <f t="shared" si="1"/>
        <v>12.8</v>
      </c>
      <c r="K8" s="67">
        <f t="shared" si="2"/>
        <v>15466.688</v>
      </c>
    </row>
    <row r="9" spans="1:17" ht="16">
      <c r="B9" s="62"/>
      <c r="C9" s="62"/>
      <c r="D9" s="63"/>
      <c r="E9" s="64" t="s">
        <v>437</v>
      </c>
      <c r="F9" s="120">
        <f>$F$4</f>
        <v>64</v>
      </c>
      <c r="G9" s="65">
        <f>SUM(H5:H8)</f>
        <v>11342.214</v>
      </c>
      <c r="H9" s="65">
        <f t="shared" ref="H9" si="3">ROUND(F9*G9,3)</f>
        <v>725901.696</v>
      </c>
      <c r="K9" s="76">
        <f>SUM(K5:K8)</f>
        <v>725901.696</v>
      </c>
    </row>
    <row r="11" spans="1:17">
      <c r="C11" s="66"/>
    </row>
  </sheetData>
  <dataValidations count="1">
    <dataValidation type="list" allowBlank="1" showErrorMessage="1" sqref="C9 C4" xr:uid="{74E548E7-C372-48F8-8CD7-FC62672DCAD2}">
      <formula1>"Capítulo,Partida,Mano de obra,Maquinaria,Material,Otros,Tarea"</formula1>
    </dataValidation>
  </dataValidations>
  <hyperlinks>
    <hyperlink ref="B1" location="'01.- Presupuesto'!A1" display="02.- Presupuesto'!A1" xr:uid="{E9C67768-3EC3-AA4A-A88B-16EBF101370A}"/>
  </hyperlinks>
  <pageMargins left="0.7" right="0.7" top="0.75" bottom="0.75" header="0.3" footer="0.3"/>
  <pageSetup orientation="portrait" horizontalDpi="0" verticalDpi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F235-F275-47E7-8F39-A4F1F4DC7E28}">
  <sheetPr>
    <tabColor theme="9" tint="0.59999389629810485"/>
  </sheetPr>
  <dimension ref="A1:Q18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151</v>
      </c>
      <c r="C4" s="53" t="s">
        <v>36</v>
      </c>
      <c r="D4" s="148" t="str">
        <f>'01.- Presupuesto'!F67</f>
        <v>m3</v>
      </c>
      <c r="E4" s="149" t="str">
        <f>'01.- Presupuesto'!C67</f>
        <v>Suministro e Instalación Hormigón G15, con aditivo impermeabilizante, igol denso.</v>
      </c>
      <c r="F4" s="73">
        <f>'01.- Presupuesto'!G67</f>
        <v>2.1120000000000001</v>
      </c>
      <c r="G4" s="55">
        <f>G16</f>
        <v>222362.554</v>
      </c>
      <c r="H4" s="55">
        <f>H16</f>
        <v>469629.71399999998</v>
      </c>
      <c r="J4" s="74" t="s">
        <v>30</v>
      </c>
      <c r="K4" s="74" t="s">
        <v>37</v>
      </c>
      <c r="M4" s="70">
        <f>SUMIF(C5:C28,"Material",K5:K28)</f>
        <v>331218.62188799999</v>
      </c>
      <c r="N4" s="70">
        <f>SUMIF(C5:C28,"Mano de Obra",K5:K28)</f>
        <v>105369.24499200001</v>
      </c>
      <c r="O4" s="70">
        <f>SUMIF(C5:C28,"Subcontrato",K5:K28)</f>
        <v>0</v>
      </c>
      <c r="P4" s="70">
        <f>SUMIF(C5:C28,"Ser&amp;Arr",K5:K28)</f>
        <v>33041.847168</v>
      </c>
      <c r="Q4" s="71">
        <f>SUM(M4:P4)</f>
        <v>469629.71404799999</v>
      </c>
    </row>
    <row r="5" spans="1:17" ht="16">
      <c r="B5" s="56"/>
      <c r="C5" s="56" t="s">
        <v>38</v>
      </c>
      <c r="D5" s="57" t="s">
        <v>67</v>
      </c>
      <c r="E5" s="58" t="s">
        <v>441</v>
      </c>
      <c r="F5" s="59">
        <v>1.1000000000000001</v>
      </c>
      <c r="G5" s="60">
        <f>HormG15</f>
        <v>104842.89</v>
      </c>
      <c r="H5" s="61">
        <f t="shared" ref="H5:H10" si="0">ROUND(F5*G5,3)</f>
        <v>115327.179</v>
      </c>
      <c r="J5" s="75">
        <f>F5*$F$4</f>
        <v>2.3232000000000004</v>
      </c>
      <c r="K5" s="67">
        <f>H5*$F$4</f>
        <v>243571.00204800002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13" si="1">F6*$F$4</f>
        <v>0.21120000000000003</v>
      </c>
      <c r="K6" s="67">
        <f t="shared" ref="K6:K13" si="2">H6*$F$4</f>
        <v>2534.4</v>
      </c>
    </row>
    <row r="7" spans="1:17" ht="16">
      <c r="B7" s="56"/>
      <c r="C7" s="56" t="s">
        <v>38</v>
      </c>
      <c r="D7" s="57" t="s">
        <v>67</v>
      </c>
      <c r="E7" s="58" t="s">
        <v>442</v>
      </c>
      <c r="F7" s="59">
        <v>1.1000000000000001</v>
      </c>
      <c r="G7" s="60">
        <f>0.07*UF</f>
        <v>2748.69</v>
      </c>
      <c r="H7" s="61">
        <f t="shared" ref="H7:H8" si="3">ROUND(F7*G7,3)</f>
        <v>3023.5590000000002</v>
      </c>
      <c r="J7" s="75">
        <f t="shared" ref="J7:J8" si="4">F7*$F$4</f>
        <v>2.3232000000000004</v>
      </c>
      <c r="K7" s="67">
        <f t="shared" ref="K7:K8" si="5">H7*$F$4</f>
        <v>6385.7566080000006</v>
      </c>
    </row>
    <row r="8" spans="1:17" ht="16">
      <c r="B8" s="56"/>
      <c r="C8" s="56" t="s">
        <v>38</v>
      </c>
      <c r="D8" s="57" t="s">
        <v>76</v>
      </c>
      <c r="E8" s="58" t="s">
        <v>443</v>
      </c>
      <c r="F8" s="59">
        <f>10*2*0.3/16</f>
        <v>0.375</v>
      </c>
      <c r="G8" s="60">
        <f>118290/1.19</f>
        <v>99403.361344537814</v>
      </c>
      <c r="H8" s="61">
        <f t="shared" si="3"/>
        <v>37276.260999999999</v>
      </c>
      <c r="J8" s="75">
        <f t="shared" si="4"/>
        <v>0.79200000000000004</v>
      </c>
      <c r="K8" s="67">
        <f t="shared" si="5"/>
        <v>78727.463231999995</v>
      </c>
    </row>
    <row r="9" spans="1:17" ht="16">
      <c r="B9" s="56"/>
      <c r="C9" s="56" t="s">
        <v>40</v>
      </c>
      <c r="D9" s="57" t="s">
        <v>41</v>
      </c>
      <c r="E9" s="58" t="s">
        <v>90</v>
      </c>
      <c r="F9" s="59">
        <f>1/3</f>
        <v>0.33333333333333331</v>
      </c>
      <c r="G9" s="60">
        <f>Maestro</f>
        <v>7250</v>
      </c>
      <c r="H9" s="61">
        <f t="shared" si="0"/>
        <v>2416.6669999999999</v>
      </c>
      <c r="J9" s="75">
        <f t="shared" si="1"/>
        <v>0.70399999999999996</v>
      </c>
      <c r="K9" s="67">
        <f t="shared" si="2"/>
        <v>5104.000704</v>
      </c>
    </row>
    <row r="10" spans="1:17" ht="16">
      <c r="B10" s="56"/>
      <c r="C10" s="56" t="s">
        <v>40</v>
      </c>
      <c r="D10" s="57" t="s">
        <v>41</v>
      </c>
      <c r="E10" s="58" t="s">
        <v>68</v>
      </c>
      <c r="F10" s="59">
        <f>4*(1/3)</f>
        <v>1.3333333333333333</v>
      </c>
      <c r="G10" s="60">
        <f>Jornal</f>
        <v>5397.2222222222226</v>
      </c>
      <c r="H10" s="61">
        <f t="shared" si="0"/>
        <v>7196.2960000000003</v>
      </c>
      <c r="J10" s="75">
        <f t="shared" si="1"/>
        <v>2.8159999999999998</v>
      </c>
      <c r="K10" s="67">
        <f t="shared" si="2"/>
        <v>15198.577152000002</v>
      </c>
    </row>
    <row r="11" spans="1:17" ht="16">
      <c r="B11" s="56"/>
      <c r="C11" s="56" t="s">
        <v>40</v>
      </c>
      <c r="D11" s="57" t="s">
        <v>41</v>
      </c>
      <c r="E11" s="58" t="s">
        <v>93</v>
      </c>
      <c r="F11" s="59">
        <f>10/2</f>
        <v>5</v>
      </c>
      <c r="G11" s="60">
        <f>Pintor</f>
        <v>8055.5555555555557</v>
      </c>
      <c r="H11" s="61">
        <f>ROUND(F11*G11,3)</f>
        <v>40277.777999999998</v>
      </c>
      <c r="J11" s="75">
        <f t="shared" ref="J11" si="6">F11*$F$4</f>
        <v>10.56</v>
      </c>
      <c r="K11" s="67">
        <f t="shared" ref="K11" si="7">H11*$F$4</f>
        <v>85066.667136000004</v>
      </c>
    </row>
    <row r="12" spans="1:17" ht="16">
      <c r="B12" s="56"/>
      <c r="C12" s="56" t="s">
        <v>54</v>
      </c>
      <c r="D12" s="57" t="s">
        <v>42</v>
      </c>
      <c r="E12" s="58" t="s">
        <v>55</v>
      </c>
      <c r="F12" s="59">
        <v>0.2</v>
      </c>
      <c r="G12" s="60">
        <f>SUM(H9:H11)</f>
        <v>49890.740999999995</v>
      </c>
      <c r="H12" s="61">
        <f>ROUND(F12*G12,3)</f>
        <v>9978.1479999999992</v>
      </c>
      <c r="J12" s="75">
        <f t="shared" si="1"/>
        <v>0.42240000000000005</v>
      </c>
      <c r="K12" s="67">
        <f t="shared" si="2"/>
        <v>21073.848576</v>
      </c>
    </row>
    <row r="13" spans="1:17" ht="16">
      <c r="B13" s="56"/>
      <c r="C13" s="56" t="s">
        <v>54</v>
      </c>
      <c r="D13" s="57" t="s">
        <v>71</v>
      </c>
      <c r="E13" s="58" t="s">
        <v>372</v>
      </c>
      <c r="F13" s="59">
        <f>1/3</f>
        <v>0.33333333333333331</v>
      </c>
      <c r="G13" s="60">
        <f>3500+3500</f>
        <v>7000</v>
      </c>
      <c r="H13" s="61">
        <f>ROUND(F13*G13,3)</f>
        <v>2333.3330000000001</v>
      </c>
      <c r="J13" s="75">
        <f t="shared" si="1"/>
        <v>0.70399999999999996</v>
      </c>
      <c r="K13" s="67">
        <f t="shared" si="2"/>
        <v>4927.999296</v>
      </c>
    </row>
    <row r="14" spans="1:17" ht="16">
      <c r="B14" s="56"/>
      <c r="C14" s="56" t="s">
        <v>54</v>
      </c>
      <c r="D14" s="57" t="s">
        <v>71</v>
      </c>
      <c r="E14" s="58" t="s">
        <v>373</v>
      </c>
      <c r="F14" s="59">
        <f>1/3</f>
        <v>0.33333333333333331</v>
      </c>
      <c r="G14" s="60">
        <f>3500+3500</f>
        <v>7000</v>
      </c>
      <c r="H14" s="61">
        <f>ROUND(F14*G14,3)</f>
        <v>2333.3330000000001</v>
      </c>
      <c r="J14" s="75">
        <f>F14*$F$4</f>
        <v>0.70399999999999996</v>
      </c>
      <c r="K14" s="67">
        <f>H14*$F$4</f>
        <v>4927.999296</v>
      </c>
    </row>
    <row r="15" spans="1:17" ht="16">
      <c r="B15" s="56"/>
      <c r="C15" s="56" t="s">
        <v>54</v>
      </c>
      <c r="D15" s="57" t="s">
        <v>76</v>
      </c>
      <c r="E15" s="58" t="s">
        <v>368</v>
      </c>
      <c r="F15" s="59">
        <f>1/50</f>
        <v>0.02</v>
      </c>
      <c r="G15" s="60">
        <v>50000</v>
      </c>
      <c r="H15" s="61">
        <f>ROUND(F15*G15,3)</f>
        <v>1000</v>
      </c>
      <c r="J15" s="75">
        <f>F15*$F$4</f>
        <v>4.224E-2</v>
      </c>
      <c r="K15" s="67">
        <f>H15*$F$4</f>
        <v>2112</v>
      </c>
    </row>
    <row r="16" spans="1:17" ht="16">
      <c r="B16" s="62"/>
      <c r="C16" s="62"/>
      <c r="D16" s="63"/>
      <c r="E16" s="64" t="s">
        <v>444</v>
      </c>
      <c r="F16" s="120">
        <f>$F$4</f>
        <v>2.1120000000000001</v>
      </c>
      <c r="G16" s="65">
        <f>SUM(H5:H15)</f>
        <v>222362.554</v>
      </c>
      <c r="H16" s="65">
        <f t="shared" ref="H16" si="8">ROUND(F16*G16,3)</f>
        <v>469629.71399999998</v>
      </c>
      <c r="K16" s="76">
        <f>SUM(K5:K15)</f>
        <v>469629.71404799999</v>
      </c>
    </row>
    <row r="18" spans="3:3">
      <c r="C18" s="66"/>
    </row>
  </sheetData>
  <dataValidations count="1">
    <dataValidation type="list" allowBlank="1" showErrorMessage="1" sqref="C16 C4" xr:uid="{20D32D72-A174-4DDF-8302-CCF2E42C9710}">
      <formula1>"Capítulo,Partida,Mano de obra,Maquinaria,Material,Otros,Tarea"</formula1>
    </dataValidation>
  </dataValidations>
  <hyperlinks>
    <hyperlink ref="B1" location="'01.- Presupuesto'!A1" display="02.- Presupuesto'!A1" xr:uid="{2D47F11E-87DC-8C4E-88F1-07D55591A338}"/>
  </hyperlinks>
  <pageMargins left="0.7" right="0.7" top="0.75" bottom="0.75" header="0.3" footer="0.3"/>
  <pageSetup orientation="portrait" horizontalDpi="0" verticalDpi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C976-D859-4698-92B2-4882C418F5FE}">
  <sheetPr>
    <tabColor theme="9" tint="0.59999389629810485"/>
  </sheetPr>
  <dimension ref="A1:Q12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152</v>
      </c>
      <c r="C4" s="53" t="s">
        <v>36</v>
      </c>
      <c r="D4" s="148" t="str">
        <f>'01.- Presupuesto'!F68</f>
        <v>m3</v>
      </c>
      <c r="E4" s="149" t="str">
        <f>'01.- Presupuesto'!C68</f>
        <v>Suministro e instalación emplantillado hormigón G5</v>
      </c>
      <c r="F4" s="73">
        <f>'01.- Presupuesto'!G68</f>
        <v>0.18049999999999999</v>
      </c>
      <c r="G4" s="55">
        <f>G10</f>
        <v>120719.806</v>
      </c>
      <c r="H4" s="55">
        <f>H10</f>
        <v>21789.924999999999</v>
      </c>
      <c r="J4" s="74" t="s">
        <v>30</v>
      </c>
      <c r="K4" s="74" t="s">
        <v>37</v>
      </c>
      <c r="M4" s="70">
        <f>SUMIF(C5:C22,"Material",K5:K22)</f>
        <v>19707.757124999996</v>
      </c>
      <c r="N4" s="70">
        <f>SUMIF(C5:C22,"Mano de Obra",K5:K22)</f>
        <v>1735.1398214999999</v>
      </c>
      <c r="O4" s="70">
        <f>SUMIF(C5:C22,"Subcontrato",K5:K22)</f>
        <v>0</v>
      </c>
      <c r="P4" s="70">
        <f>SUMIF(C5:C22,"Ser&amp;Arr",K5:K22)</f>
        <v>347.02803649999998</v>
      </c>
      <c r="Q4" s="71">
        <f>SUM(M4:P4)</f>
        <v>21789.924982999997</v>
      </c>
    </row>
    <row r="5" spans="1:17" ht="16">
      <c r="B5" s="56"/>
      <c r="C5" s="56" t="s">
        <v>38</v>
      </c>
      <c r="D5" s="57" t="s">
        <v>67</v>
      </c>
      <c r="E5" s="58" t="s">
        <v>383</v>
      </c>
      <c r="F5" s="59">
        <v>1.1000000000000001</v>
      </c>
      <c r="G5" s="60">
        <f>HormG5</f>
        <v>98167.5</v>
      </c>
      <c r="H5" s="61">
        <f t="shared" ref="H5:H8" si="0">ROUND(F5*G5,3)</f>
        <v>107984.25</v>
      </c>
      <c r="J5" s="75">
        <f>F5*$F$4</f>
        <v>0.19855</v>
      </c>
      <c r="K5" s="67">
        <f>H5*$F$4</f>
        <v>19491.157124999998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9" si="1">F6*$F$4</f>
        <v>1.805E-2</v>
      </c>
      <c r="K6" s="67">
        <f t="shared" ref="K6:K9" si="2">H6*$F$4</f>
        <v>216.6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</f>
        <v>0.33333333333333331</v>
      </c>
      <c r="G7" s="60">
        <f>Maestro</f>
        <v>7250</v>
      </c>
      <c r="H7" s="61">
        <f t="shared" si="0"/>
        <v>2416.6669999999999</v>
      </c>
      <c r="J7" s="75">
        <f t="shared" si="1"/>
        <v>6.016666666666666E-2</v>
      </c>
      <c r="K7" s="67">
        <f t="shared" si="2"/>
        <v>436.20839349999994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</f>
        <v>1.3333333333333333</v>
      </c>
      <c r="G8" s="60">
        <f>Jornal</f>
        <v>5397.2222222222226</v>
      </c>
      <c r="H8" s="61">
        <f t="shared" si="0"/>
        <v>7196.2960000000003</v>
      </c>
      <c r="J8" s="75">
        <f t="shared" si="1"/>
        <v>0.24066666666666664</v>
      </c>
      <c r="K8" s="67">
        <f t="shared" si="2"/>
        <v>1298.9314280000001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9612.9629999999997</v>
      </c>
      <c r="H9" s="61">
        <f>ROUND(F9*G9,3)</f>
        <v>1922.5930000000001</v>
      </c>
      <c r="J9" s="75">
        <f t="shared" si="1"/>
        <v>3.61E-2</v>
      </c>
      <c r="K9" s="67">
        <f t="shared" si="2"/>
        <v>347.02803649999998</v>
      </c>
    </row>
    <row r="10" spans="1:17" ht="16">
      <c r="B10" s="62"/>
      <c r="C10" s="62"/>
      <c r="D10" s="63"/>
      <c r="E10" s="64" t="s">
        <v>411</v>
      </c>
      <c r="F10" s="120">
        <f>$F$4</f>
        <v>0.18049999999999999</v>
      </c>
      <c r="G10" s="65">
        <f>SUM(H5:H9)</f>
        <v>120719.806</v>
      </c>
      <c r="H10" s="65">
        <f t="shared" ref="H10" si="3">ROUND(F10*G10,3)</f>
        <v>21789.924999999999</v>
      </c>
      <c r="K10" s="76">
        <f>SUM(K5:K9)</f>
        <v>21789.924982999997</v>
      </c>
    </row>
    <row r="12" spans="1:17">
      <c r="C12" s="66"/>
    </row>
  </sheetData>
  <dataValidations count="1">
    <dataValidation type="list" allowBlank="1" showErrorMessage="1" sqref="C10 C4" xr:uid="{A0C0A015-10BE-4C00-83DF-D92865519F56}">
      <formula1>"Capítulo,Partida,Mano de obra,Maquinaria,Material,Otros,Tarea"</formula1>
    </dataValidation>
  </dataValidations>
  <hyperlinks>
    <hyperlink ref="B1" location="'01.- Presupuesto'!A1" display="02.- Presupuesto'!A1" xr:uid="{0BACBC08-2BE7-1E44-A883-0476924C5001}"/>
  </hyperlinks>
  <pageMargins left="0.7" right="0.7" top="0.75" bottom="0.75" header="0.3" footer="0.3"/>
  <pageSetup orientation="portrait" horizontalDpi="0" verticalDpi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4750-FD0C-47BD-B8E2-8F76FAEFA286}">
  <sheetPr>
    <tabColor theme="9" tint="0.59999389629810485"/>
  </sheetPr>
  <dimension ref="A1:Q11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153</v>
      </c>
      <c r="C4" s="53" t="s">
        <v>36</v>
      </c>
      <c r="D4" s="148" t="str">
        <f>'01.- Presupuesto'!F69</f>
        <v>kg</v>
      </c>
      <c r="E4" s="149" t="str">
        <f>'01.- Presupuesto'!C69</f>
        <v>Suministro e instalación enfierradura malla acma C-188</v>
      </c>
      <c r="F4" s="73">
        <f>'01.- Presupuesto'!G69</f>
        <v>66</v>
      </c>
      <c r="G4" s="55">
        <f>G9</f>
        <v>2586.7730000000001</v>
      </c>
      <c r="H4" s="55">
        <f>H9</f>
        <v>170727.01800000001</v>
      </c>
      <c r="J4" s="74" t="s">
        <v>30</v>
      </c>
      <c r="K4" s="74" t="s">
        <v>37</v>
      </c>
      <c r="M4" s="70">
        <f>SUMIF(C5:C21,"Material",K5:K21)</f>
        <v>94592.322</v>
      </c>
      <c r="N4" s="70">
        <f>SUMIF(C5:C21,"Mano de Obra",K5:K21)</f>
        <v>63445.601999999999</v>
      </c>
      <c r="O4" s="70">
        <f>SUMIF(C5:C21,"Subcontrato",K5:K21)</f>
        <v>0</v>
      </c>
      <c r="P4" s="70">
        <f>SUMIF(C5:C21,"Ser&amp;Arr",K5:K21)</f>
        <v>12689.093999999999</v>
      </c>
      <c r="Q4" s="71">
        <f>SUM(M4:P4)</f>
        <v>170727.01800000001</v>
      </c>
    </row>
    <row r="5" spans="1:17" ht="16">
      <c r="B5" s="56"/>
      <c r="C5" s="56" t="s">
        <v>38</v>
      </c>
      <c r="D5" s="57" t="s">
        <v>39</v>
      </c>
      <c r="E5" s="58" t="s">
        <v>447</v>
      </c>
      <c r="F5" s="59">
        <f>1.05*1/30.03</f>
        <v>3.4965034965034968E-2</v>
      </c>
      <c r="G5" s="60">
        <v>40990</v>
      </c>
      <c r="H5" s="61">
        <f t="shared" ref="H5:H7" si="0">ROUND(F5*G5,3)</f>
        <v>1433.2170000000001</v>
      </c>
      <c r="J5" s="75">
        <f>F5*$F$4</f>
        <v>2.3076923076923079</v>
      </c>
      <c r="K5" s="67">
        <f>H5*$F$4</f>
        <v>94592.322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1/30</f>
        <v>3.3333333333333333E-2</v>
      </c>
      <c r="G6" s="60">
        <f>Maestro</f>
        <v>7250</v>
      </c>
      <c r="H6" s="61">
        <f t="shared" si="0"/>
        <v>241.667</v>
      </c>
      <c r="J6" s="75">
        <f t="shared" ref="J6:J8" si="1">F6*$F$4</f>
        <v>2.2000000000000002</v>
      </c>
      <c r="K6" s="67">
        <f t="shared" ref="K6:K8" si="2">H6*$F$4</f>
        <v>15950.022000000001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4/30</f>
        <v>0.13333333333333333</v>
      </c>
      <c r="G7" s="60">
        <f>Jornal</f>
        <v>5397.2222222222226</v>
      </c>
      <c r="H7" s="61">
        <f t="shared" si="0"/>
        <v>719.63</v>
      </c>
      <c r="J7" s="75">
        <f t="shared" si="1"/>
        <v>8.8000000000000007</v>
      </c>
      <c r="K7" s="67">
        <f t="shared" si="2"/>
        <v>47495.58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961.29700000000003</v>
      </c>
      <c r="H8" s="61">
        <f>ROUND(F8*G8,3)</f>
        <v>192.25899999999999</v>
      </c>
      <c r="J8" s="75">
        <f t="shared" si="1"/>
        <v>13.200000000000001</v>
      </c>
      <c r="K8" s="67">
        <f t="shared" si="2"/>
        <v>12689.093999999999</v>
      </c>
    </row>
    <row r="9" spans="1:17" ht="16">
      <c r="B9" s="62"/>
      <c r="C9" s="62"/>
      <c r="D9" s="63"/>
      <c r="E9" s="64" t="s">
        <v>449</v>
      </c>
      <c r="F9" s="120">
        <f>$F$4</f>
        <v>66</v>
      </c>
      <c r="G9" s="65">
        <f>SUM(H5:H8)</f>
        <v>2586.7730000000001</v>
      </c>
      <c r="H9" s="65">
        <f t="shared" ref="H9" si="3">ROUND(F9*G9,3)</f>
        <v>170727.01800000001</v>
      </c>
      <c r="K9" s="76">
        <f>SUM(K5:K8)</f>
        <v>170727.01800000001</v>
      </c>
    </row>
    <row r="11" spans="1:17">
      <c r="C11" s="66"/>
    </row>
  </sheetData>
  <dataValidations count="1">
    <dataValidation type="list" allowBlank="1" showErrorMessage="1" sqref="C9 C4" xr:uid="{3A6A3FBB-4CB2-4C3C-8798-741001945458}">
      <formula1>"Capítulo,Partida,Mano de obra,Maquinaria,Material,Otros,Tarea"</formula1>
    </dataValidation>
  </dataValidations>
  <hyperlinks>
    <hyperlink ref="B1" location="'01.- Presupuesto'!A1" display="02.- Presupuesto'!A1" xr:uid="{C1CA4591-807D-7443-B3DD-87396C95E3C2}"/>
  </hyperlinks>
  <pageMargins left="0.7" right="0.7" top="0.75" bottom="0.75" header="0.3" footer="0.3"/>
  <pageSetup orientation="portrait" horizontalDpi="0" verticalDpi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C1FC-81D6-4147-BF68-4FD790ADAAF2}">
  <sheetPr>
    <tabColor theme="9" tint="0.59999389629810485"/>
  </sheetPr>
  <dimension ref="A1:Q11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154</v>
      </c>
      <c r="C4" s="53" t="s">
        <v>36</v>
      </c>
      <c r="D4" s="148" t="str">
        <f>'01.- Presupuesto'!F70</f>
        <v>m3</v>
      </c>
      <c r="E4" s="149" t="str">
        <f>'01.- Presupuesto'!C70</f>
        <v>Excavación maquinaría local y traslado a botadero, hasta 20 Km</v>
      </c>
      <c r="F4" s="73">
        <f>'01.- Presupuesto'!G70</f>
        <v>6.1369999999999996</v>
      </c>
      <c r="G4" s="55">
        <f>G9</f>
        <v>25500</v>
      </c>
      <c r="H4" s="55">
        <f>H9</f>
        <v>156493.5</v>
      </c>
      <c r="J4" s="74" t="s">
        <v>30</v>
      </c>
      <c r="K4" s="74" t="s">
        <v>37</v>
      </c>
      <c r="M4" s="70">
        <f>SUMIF(C5:C21,"Material",K5:K21)</f>
        <v>0</v>
      </c>
      <c r="N4" s="70">
        <f>SUMIF(C5:C21,"Mano de Obra",K5:K21)</f>
        <v>0</v>
      </c>
      <c r="O4" s="70">
        <f>SUMIF(C5:C21,"Subcontrato",K5:K21)</f>
        <v>0</v>
      </c>
      <c r="P4" s="70">
        <f>SUMIF(C5:C21,"Ser&amp;Arr",K5:K21)</f>
        <v>156493.5</v>
      </c>
      <c r="Q4" s="71">
        <f>SUM(M4:P4)</f>
        <v>156493.5</v>
      </c>
    </row>
    <row r="5" spans="1:17" ht="16">
      <c r="B5" s="56"/>
      <c r="C5" s="56" t="s">
        <v>54</v>
      </c>
      <c r="D5" s="57" t="s">
        <v>348</v>
      </c>
      <c r="E5" s="58" t="s">
        <v>353</v>
      </c>
      <c r="F5" s="59">
        <f>1/20</f>
        <v>0.05</v>
      </c>
      <c r="G5" s="60">
        <f>Excavadora</f>
        <v>50000</v>
      </c>
      <c r="H5" s="61">
        <f t="shared" ref="H5:H8" si="0">ROUND(F5*G5,3)</f>
        <v>2500</v>
      </c>
      <c r="J5" s="75">
        <f>F5*$F$4</f>
        <v>0.30685000000000001</v>
      </c>
      <c r="K5" s="67">
        <f>H5*$F$4</f>
        <v>15342.499999999998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8" si="1">F6*$F$4</f>
        <v>0.30685000000000001</v>
      </c>
      <c r="K6" s="67">
        <f t="shared" ref="K6:K8" si="2">H6*$F$4</f>
        <v>9819.1999999999989</v>
      </c>
    </row>
    <row r="7" spans="1:17" ht="16">
      <c r="B7" s="56"/>
      <c r="C7" s="56" t="s">
        <v>54</v>
      </c>
      <c r="D7" s="57" t="s">
        <v>348</v>
      </c>
      <c r="E7" s="58" t="s">
        <v>349</v>
      </c>
      <c r="F7" s="59">
        <f>1/20</f>
        <v>0.05</v>
      </c>
      <c r="G7" s="60">
        <f>Tolva</f>
        <v>38000</v>
      </c>
      <c r="H7" s="61">
        <f t="shared" si="0"/>
        <v>1900</v>
      </c>
      <c r="J7" s="75">
        <f t="shared" si="1"/>
        <v>0.30685000000000001</v>
      </c>
      <c r="K7" s="67">
        <f t="shared" si="2"/>
        <v>11660.3</v>
      </c>
    </row>
    <row r="8" spans="1:17" ht="16">
      <c r="B8" s="56"/>
      <c r="C8" s="56" t="s">
        <v>54</v>
      </c>
      <c r="D8" s="57" t="s">
        <v>67</v>
      </c>
      <c r="E8" s="58" t="s">
        <v>70</v>
      </c>
      <c r="F8" s="59">
        <v>1.3</v>
      </c>
      <c r="G8" s="60">
        <v>15000</v>
      </c>
      <c r="H8" s="61">
        <f t="shared" si="0"/>
        <v>19500</v>
      </c>
      <c r="J8" s="75">
        <f t="shared" si="1"/>
        <v>7.9780999999999995</v>
      </c>
      <c r="K8" s="67">
        <f t="shared" si="2"/>
        <v>119671.49999999999</v>
      </c>
    </row>
    <row r="9" spans="1:17" ht="16">
      <c r="B9" s="62"/>
      <c r="C9" s="62"/>
      <c r="D9" s="63"/>
      <c r="E9" s="64" t="s">
        <v>412</v>
      </c>
      <c r="F9" s="120">
        <f>$F$4</f>
        <v>6.1369999999999996</v>
      </c>
      <c r="G9" s="65">
        <f>SUM(H5:H8)</f>
        <v>25500</v>
      </c>
      <c r="H9" s="65">
        <f t="shared" ref="H9" si="3">ROUND(F9*G9,3)</f>
        <v>156493.5</v>
      </c>
      <c r="K9" s="76">
        <f>SUM(K5:K8)</f>
        <v>156493.5</v>
      </c>
    </row>
    <row r="11" spans="1:17">
      <c r="C11" s="66"/>
    </row>
  </sheetData>
  <dataValidations count="1">
    <dataValidation type="list" allowBlank="1" showErrorMessage="1" sqref="C9 C4" xr:uid="{EE5AC37C-CB70-44B0-9353-4802B7D28BE5}">
      <formula1>"Capítulo,Partida,Mano de obra,Maquinaria,Material,Otros,Tarea"</formula1>
    </dataValidation>
  </dataValidations>
  <hyperlinks>
    <hyperlink ref="B1" location="'01.- Presupuesto'!A1" display="02.- Presupuesto'!A1" xr:uid="{E0A72771-5C07-1E4C-AB8E-FDFE53A9B82B}"/>
  </hyperlinks>
  <pageMargins left="0.7" right="0.7" top="0.75" bottom="0.75" header="0.3" footer="0.3"/>
  <pageSetup orientation="portrait" horizontalDpi="0" verticalDpi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5ABB-CA65-48DE-8A54-FB1F6AFEF6B0}">
  <sheetPr>
    <tabColor theme="9" tint="0.59999389629810485"/>
  </sheetPr>
  <dimension ref="A1:Q14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155</v>
      </c>
      <c r="C4" s="53" t="s">
        <v>36</v>
      </c>
      <c r="D4" s="148" t="str">
        <f>'01.- Presupuesto'!F71</f>
        <v>m2</v>
      </c>
      <c r="E4" s="149" t="str">
        <f>'01.- Presupuesto'!C71</f>
        <v>Suministro y construcción moldajes de madera o metálicos</v>
      </c>
      <c r="F4" s="73">
        <f>'01.- Presupuesto'!G71</f>
        <v>21.12</v>
      </c>
      <c r="G4" s="55">
        <f>G12</f>
        <v>16475.795999999998</v>
      </c>
      <c r="H4" s="55">
        <f>H12</f>
        <v>347968.81199999998</v>
      </c>
      <c r="J4" s="74" t="s">
        <v>30</v>
      </c>
      <c r="K4" s="74" t="s">
        <v>37</v>
      </c>
      <c r="M4" s="70">
        <f>SUMIF(C5:C24,"Material",K5:K24)</f>
        <v>249972.01152</v>
      </c>
      <c r="N4" s="70">
        <f>SUMIF(C5:C24,"Mano de Obra",K5:K24)</f>
        <v>81664.007039999997</v>
      </c>
      <c r="O4" s="70">
        <f>SUMIF(C5:C24,"Subcontrato",K5:K24)</f>
        <v>0</v>
      </c>
      <c r="P4" s="70">
        <f>SUMIF(C5:C24,"Ser&amp;Arr",K5:K24)</f>
        <v>16332.792960000001</v>
      </c>
      <c r="Q4" s="71">
        <f>SUM(M4:P4)</f>
        <v>347968.81151999999</v>
      </c>
    </row>
    <row r="5" spans="1:17" ht="16">
      <c r="B5" s="56"/>
      <c r="C5" s="56" t="s">
        <v>38</v>
      </c>
      <c r="D5" s="57" t="s">
        <v>39</v>
      </c>
      <c r="E5" s="58" t="s">
        <v>390</v>
      </c>
      <c r="F5" s="59">
        <f>1/0.48</f>
        <v>2.0833333333333335</v>
      </c>
      <c r="G5" s="60">
        <v>2400</v>
      </c>
      <c r="H5" s="61">
        <f t="shared" ref="H5:H10" si="0">ROUND(F5*G5,3)</f>
        <v>5000</v>
      </c>
      <c r="J5" s="75">
        <f>F5*$F$4</f>
        <v>44.000000000000007</v>
      </c>
      <c r="K5" s="67">
        <f>H5*$F$4</f>
        <v>105600</v>
      </c>
    </row>
    <row r="6" spans="1:17" ht="16">
      <c r="B6" s="56"/>
      <c r="C6" s="56" t="s">
        <v>38</v>
      </c>
      <c r="D6" s="57" t="s">
        <v>39</v>
      </c>
      <c r="E6" s="58" t="s">
        <v>391</v>
      </c>
      <c r="F6" s="59">
        <f>1.05*1/(1.22*2.44)</f>
        <v>0.35272776135447464</v>
      </c>
      <c r="G6" s="60">
        <v>16966</v>
      </c>
      <c r="H6" s="61">
        <f t="shared" si="0"/>
        <v>5984.3789999999999</v>
      </c>
      <c r="J6" s="75">
        <f t="shared" ref="J6:J10" si="1">F6*$F$4</f>
        <v>7.4496103198065047</v>
      </c>
      <c r="K6" s="67">
        <f t="shared" ref="K6:K10" si="2">H6*$F$4</f>
        <v>126390.08448</v>
      </c>
    </row>
    <row r="7" spans="1:17" ht="16">
      <c r="B7" s="56"/>
      <c r="C7" s="56" t="s">
        <v>38</v>
      </c>
      <c r="D7" s="57" t="s">
        <v>75</v>
      </c>
      <c r="E7" s="58" t="s">
        <v>392</v>
      </c>
      <c r="F7" s="59">
        <f>1/4</f>
        <v>0.25</v>
      </c>
      <c r="G7" s="60">
        <v>1184</v>
      </c>
      <c r="H7" s="61">
        <f t="shared" si="0"/>
        <v>296</v>
      </c>
      <c r="J7" s="75">
        <f t="shared" si="1"/>
        <v>5.28</v>
      </c>
      <c r="K7" s="67">
        <f t="shared" si="2"/>
        <v>6251.52</v>
      </c>
    </row>
    <row r="8" spans="1:17" ht="16">
      <c r="B8" s="56"/>
      <c r="C8" s="56" t="s">
        <v>38</v>
      </c>
      <c r="D8" s="57" t="s">
        <v>39</v>
      </c>
      <c r="E8" s="58" t="s">
        <v>393</v>
      </c>
      <c r="F8" s="59">
        <f>1/72</f>
        <v>1.3888888888888888E-2</v>
      </c>
      <c r="G8" s="60">
        <v>39990</v>
      </c>
      <c r="H8" s="61">
        <f t="shared" si="0"/>
        <v>555.41700000000003</v>
      </c>
      <c r="J8" s="75">
        <f t="shared" si="1"/>
        <v>0.29333333333333333</v>
      </c>
      <c r="K8" s="67">
        <f t="shared" si="2"/>
        <v>11730.407040000002</v>
      </c>
    </row>
    <row r="9" spans="1:17" ht="16">
      <c r="B9" s="56"/>
      <c r="C9" s="56" t="s">
        <v>40</v>
      </c>
      <c r="D9" s="57" t="s">
        <v>41</v>
      </c>
      <c r="E9" s="58" t="s">
        <v>90</v>
      </c>
      <c r="F9" s="59">
        <f>0.3</f>
        <v>0.3</v>
      </c>
      <c r="G9" s="60">
        <f>Maestro</f>
        <v>7250</v>
      </c>
      <c r="H9" s="61">
        <f t="shared" si="0"/>
        <v>2175</v>
      </c>
      <c r="J9" s="75">
        <f t="shared" si="1"/>
        <v>6.3360000000000003</v>
      </c>
      <c r="K9" s="67">
        <f t="shared" si="2"/>
        <v>45936</v>
      </c>
    </row>
    <row r="10" spans="1:17" ht="16">
      <c r="B10" s="56"/>
      <c r="C10" s="56" t="s">
        <v>40</v>
      </c>
      <c r="D10" s="57" t="s">
        <v>41</v>
      </c>
      <c r="E10" s="58" t="s">
        <v>91</v>
      </c>
      <c r="F10" s="59">
        <f>0.3</f>
        <v>0.3</v>
      </c>
      <c r="G10" s="60">
        <f>Ayudante</f>
        <v>5638.8888888888887</v>
      </c>
      <c r="H10" s="61">
        <f t="shared" si="0"/>
        <v>1691.6669999999999</v>
      </c>
      <c r="J10" s="75">
        <f t="shared" si="1"/>
        <v>6.3360000000000003</v>
      </c>
      <c r="K10" s="67">
        <f t="shared" si="2"/>
        <v>35728.007039999997</v>
      </c>
    </row>
    <row r="11" spans="1:17" ht="16">
      <c r="B11" s="56"/>
      <c r="C11" s="56" t="s">
        <v>54</v>
      </c>
      <c r="D11" s="57" t="s">
        <v>42</v>
      </c>
      <c r="E11" s="58" t="s">
        <v>55</v>
      </c>
      <c r="F11" s="59">
        <v>0.2</v>
      </c>
      <c r="G11" s="60">
        <f>SUM(H9:H10)</f>
        <v>3866.6669999999999</v>
      </c>
      <c r="H11" s="61">
        <f>ROUND(F11*G11,3)</f>
        <v>773.33299999999997</v>
      </c>
      <c r="J11" s="75">
        <f>F11*$F$4</f>
        <v>4.2240000000000002</v>
      </c>
      <c r="K11" s="67">
        <f>H11*$F$4</f>
        <v>16332.792960000001</v>
      </c>
    </row>
    <row r="12" spans="1:17" ht="16">
      <c r="B12" s="62"/>
      <c r="C12" s="62"/>
      <c r="D12" s="63"/>
      <c r="E12" s="64" t="s">
        <v>413</v>
      </c>
      <c r="F12" s="120">
        <f>$F$4</f>
        <v>21.12</v>
      </c>
      <c r="G12" s="65">
        <f>SUM(H5:H11)</f>
        <v>16475.795999999998</v>
      </c>
      <c r="H12" s="65">
        <f t="shared" ref="H12" si="3">ROUND(F12*G12,3)</f>
        <v>347968.81199999998</v>
      </c>
      <c r="K12" s="76">
        <f>SUM(K5:K11)</f>
        <v>347968.81151999999</v>
      </c>
    </row>
    <row r="14" spans="1:17">
      <c r="C14" s="66"/>
    </row>
  </sheetData>
  <dataValidations count="1">
    <dataValidation type="list" allowBlank="1" showErrorMessage="1" sqref="C12 C4" xr:uid="{E8805CF8-A4CB-458E-91B4-6F89481CECC8}">
      <formula1>"Capítulo,Partida,Mano de obra,Maquinaria,Material,Otros,Tarea"</formula1>
    </dataValidation>
  </dataValidations>
  <hyperlinks>
    <hyperlink ref="B1" location="'01.- Presupuesto'!A1" display="02.- Presupuesto'!A1" xr:uid="{E0924E9A-795A-0142-BB92-F8B7E5F6ADD3}"/>
  </hyperlinks>
  <pageMargins left="0.7" right="0.7" top="0.75" bottom="0.75" header="0.3" footer="0.3"/>
  <pageSetup orientation="portrait" horizontalDpi="0" verticalDpi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4B80-D471-4D8C-999E-BD2C0867F27D}">
  <sheetPr>
    <tabColor theme="9" tint="0.59999389629810485"/>
  </sheetPr>
  <dimension ref="A1:Q19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156</v>
      </c>
      <c r="C4" s="53" t="s">
        <v>36</v>
      </c>
      <c r="D4" s="148" t="str">
        <f>'01.- Presupuesto'!F72</f>
        <v>un</v>
      </c>
      <c r="E4" s="149" t="str">
        <f>'01.- Presupuesto'!C72</f>
        <v>Tapa en losa de hormigón G15, incluye armadura acma 188, aditivo imperm.</v>
      </c>
      <c r="F4" s="73">
        <f>'01.- Presupuesto'!G72</f>
        <v>1</v>
      </c>
      <c r="G4" s="55">
        <f>G17</f>
        <v>136004.34700000001</v>
      </c>
      <c r="H4" s="55">
        <f>H17</f>
        <v>136004.34700000001</v>
      </c>
      <c r="J4" s="74" t="s">
        <v>30</v>
      </c>
      <c r="K4" s="74" t="s">
        <v>37</v>
      </c>
      <c r="M4" s="70">
        <f>SUMIF(C5:C29,"Material",K5:K29)</f>
        <v>88379.346999999994</v>
      </c>
      <c r="N4" s="70">
        <f>SUMIF(C5:C29,"Mano de Obra",K5:K29)</f>
        <v>27187.5</v>
      </c>
      <c r="O4" s="70">
        <f>SUMIF(C5:C29,"Subcontrato",K5:K29)</f>
        <v>0</v>
      </c>
      <c r="P4" s="70">
        <f>SUMIF(C5:C29,"Ser&amp;Arr",K5:K29)</f>
        <v>20437.5</v>
      </c>
      <c r="Q4" s="71">
        <f>SUM(M4:P4)</f>
        <v>136004.34700000001</v>
      </c>
    </row>
    <row r="5" spans="1:17" ht="16">
      <c r="B5" s="56"/>
      <c r="C5" s="56" t="s">
        <v>38</v>
      </c>
      <c r="D5" s="57" t="s">
        <v>67</v>
      </c>
      <c r="E5" s="58" t="s">
        <v>441</v>
      </c>
      <c r="F5" s="59">
        <f>1.1*1.9*1.9*0.1</f>
        <v>0.39710000000000001</v>
      </c>
      <c r="G5" s="60">
        <f>HormG15</f>
        <v>104842.89</v>
      </c>
      <c r="H5" s="61">
        <f t="shared" ref="H5:H11" si="0">ROUND(F5*G5,3)</f>
        <v>41633.112000000001</v>
      </c>
      <c r="J5" s="75">
        <f>F5*$F$4</f>
        <v>0.39710000000000001</v>
      </c>
      <c r="K5" s="67">
        <f>H5*$F$4</f>
        <v>41633.112000000001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v>2</v>
      </c>
      <c r="G6" s="60">
        <v>12000</v>
      </c>
      <c r="H6" s="61">
        <f t="shared" si="0"/>
        <v>24000</v>
      </c>
      <c r="J6" s="75">
        <f t="shared" ref="J6:J15" si="1">F6*$F$4</f>
        <v>2</v>
      </c>
      <c r="K6" s="67">
        <f t="shared" ref="K6:K15" si="2">H6*$F$4</f>
        <v>24000</v>
      </c>
    </row>
    <row r="7" spans="1:17" ht="16">
      <c r="B7" s="56"/>
      <c r="C7" s="56" t="s">
        <v>38</v>
      </c>
      <c r="D7" s="57" t="s">
        <v>67</v>
      </c>
      <c r="E7" s="58" t="s">
        <v>442</v>
      </c>
      <c r="F7" s="59">
        <f>F5</f>
        <v>0.39710000000000001</v>
      </c>
      <c r="G7" s="60">
        <f>0.07*UF</f>
        <v>2748.69</v>
      </c>
      <c r="H7" s="61">
        <f t="shared" si="0"/>
        <v>1091.5050000000001</v>
      </c>
      <c r="J7" s="75">
        <f t="shared" ref="J7:J11" si="3">F7*$F$4</f>
        <v>0.39710000000000001</v>
      </c>
      <c r="K7" s="67">
        <f t="shared" ref="K7:K11" si="4">H7*$F$4</f>
        <v>1091.5050000000001</v>
      </c>
    </row>
    <row r="8" spans="1:17" ht="16">
      <c r="B8" s="56"/>
      <c r="C8" s="56" t="s">
        <v>38</v>
      </c>
      <c r="D8" s="57" t="s">
        <v>76</v>
      </c>
      <c r="E8" s="58" t="s">
        <v>443</v>
      </c>
      <c r="F8" s="59">
        <f>1.9*1.9*2*0.3/16</f>
        <v>0.135375</v>
      </c>
      <c r="G8" s="60">
        <f>118290/1.19</f>
        <v>99403.361344537814</v>
      </c>
      <c r="H8" s="61">
        <f t="shared" si="0"/>
        <v>13456.73</v>
      </c>
      <c r="J8" s="75">
        <f t="shared" si="3"/>
        <v>0.135375</v>
      </c>
      <c r="K8" s="67">
        <f t="shared" si="4"/>
        <v>13456.73</v>
      </c>
    </row>
    <row r="9" spans="1:17" ht="16">
      <c r="B9" s="56"/>
      <c r="C9" s="56" t="s">
        <v>38</v>
      </c>
      <c r="D9" s="57" t="s">
        <v>39</v>
      </c>
      <c r="E9" s="58" t="s">
        <v>447</v>
      </c>
      <c r="F9" s="59">
        <f>1/5</f>
        <v>0.2</v>
      </c>
      <c r="G9" s="60">
        <v>40990</v>
      </c>
      <c r="H9" s="61">
        <f t="shared" si="0"/>
        <v>8198</v>
      </c>
      <c r="J9" s="75">
        <f t="shared" si="3"/>
        <v>0.2</v>
      </c>
      <c r="K9" s="67">
        <f t="shared" si="4"/>
        <v>8198</v>
      </c>
    </row>
    <row r="10" spans="1:17" ht="16">
      <c r="B10" s="56"/>
      <c r="C10" s="56" t="s">
        <v>40</v>
      </c>
      <c r="D10" s="57" t="s">
        <v>41</v>
      </c>
      <c r="E10" s="58" t="s">
        <v>90</v>
      </c>
      <c r="F10" s="59">
        <v>1</v>
      </c>
      <c r="G10" s="60">
        <f>Maestro</f>
        <v>7250</v>
      </c>
      <c r="H10" s="61">
        <f t="shared" si="0"/>
        <v>7250</v>
      </c>
      <c r="J10" s="75">
        <f t="shared" si="3"/>
        <v>1</v>
      </c>
      <c r="K10" s="67">
        <f t="shared" si="4"/>
        <v>7250</v>
      </c>
    </row>
    <row r="11" spans="1:17" ht="16">
      <c r="B11" s="56"/>
      <c r="C11" s="56" t="s">
        <v>40</v>
      </c>
      <c r="D11" s="57" t="s">
        <v>41</v>
      </c>
      <c r="E11" s="58" t="s">
        <v>68</v>
      </c>
      <c r="F11" s="59">
        <v>1</v>
      </c>
      <c r="G11" s="60">
        <f>Jornal</f>
        <v>5397.2222222222226</v>
      </c>
      <c r="H11" s="61">
        <f t="shared" si="0"/>
        <v>5397.2219999999998</v>
      </c>
      <c r="J11" s="75">
        <f t="shared" si="3"/>
        <v>1</v>
      </c>
      <c r="K11" s="67">
        <f t="shared" si="4"/>
        <v>5397.2219999999998</v>
      </c>
    </row>
    <row r="12" spans="1:17" ht="16">
      <c r="B12" s="56"/>
      <c r="C12" s="56" t="s">
        <v>40</v>
      </c>
      <c r="D12" s="57" t="s">
        <v>41</v>
      </c>
      <c r="E12" s="58" t="s">
        <v>93</v>
      </c>
      <c r="F12" s="59">
        <f>1.9*1.9/2</f>
        <v>1.8049999999999999</v>
      </c>
      <c r="G12" s="60">
        <f>Pintor</f>
        <v>8055.5555555555557</v>
      </c>
      <c r="H12" s="61">
        <f>ROUND(F12*G12,3)</f>
        <v>14540.278</v>
      </c>
      <c r="J12" s="75">
        <f t="shared" si="1"/>
        <v>1.8049999999999999</v>
      </c>
      <c r="K12" s="67">
        <f t="shared" si="2"/>
        <v>14540.278</v>
      </c>
    </row>
    <row r="13" spans="1:17" ht="16">
      <c r="B13" s="56"/>
      <c r="C13" s="56" t="s">
        <v>54</v>
      </c>
      <c r="D13" s="57" t="s">
        <v>42</v>
      </c>
      <c r="E13" s="58" t="s">
        <v>55</v>
      </c>
      <c r="F13" s="59">
        <v>0.2</v>
      </c>
      <c r="G13" s="60">
        <f>SUM(H10:H12)</f>
        <v>27187.5</v>
      </c>
      <c r="H13" s="61">
        <f>ROUND(F13*G13,3)</f>
        <v>5437.5</v>
      </c>
      <c r="J13" s="75">
        <f t="shared" si="1"/>
        <v>0.2</v>
      </c>
      <c r="K13" s="67">
        <f t="shared" si="2"/>
        <v>5437.5</v>
      </c>
    </row>
    <row r="14" spans="1:17" ht="16">
      <c r="B14" s="56"/>
      <c r="C14" s="56" t="s">
        <v>54</v>
      </c>
      <c r="D14" s="57" t="s">
        <v>71</v>
      </c>
      <c r="E14" s="58" t="s">
        <v>372</v>
      </c>
      <c r="F14" s="59">
        <v>1</v>
      </c>
      <c r="G14" s="60">
        <f>3500+3500</f>
        <v>7000</v>
      </c>
      <c r="H14" s="61">
        <f>ROUND(F14*G14,3)</f>
        <v>7000</v>
      </c>
      <c r="J14" s="75">
        <f t="shared" si="1"/>
        <v>1</v>
      </c>
      <c r="K14" s="67">
        <f t="shared" si="2"/>
        <v>7000</v>
      </c>
    </row>
    <row r="15" spans="1:17" ht="16">
      <c r="B15" s="56"/>
      <c r="C15" s="56" t="s">
        <v>54</v>
      </c>
      <c r="D15" s="57" t="s">
        <v>71</v>
      </c>
      <c r="E15" s="58" t="s">
        <v>373</v>
      </c>
      <c r="F15" s="59">
        <v>1</v>
      </c>
      <c r="G15" s="60">
        <f>3500+3500</f>
        <v>7000</v>
      </c>
      <c r="H15" s="61">
        <f>ROUND(F15*G15,3)</f>
        <v>7000</v>
      </c>
      <c r="J15" s="75">
        <f t="shared" si="1"/>
        <v>1</v>
      </c>
      <c r="K15" s="67">
        <f t="shared" si="2"/>
        <v>7000</v>
      </c>
    </row>
    <row r="16" spans="1:17" ht="16">
      <c r="B16" s="56"/>
      <c r="C16" s="56" t="s">
        <v>54</v>
      </c>
      <c r="D16" s="57" t="s">
        <v>76</v>
      </c>
      <c r="E16" s="58" t="s">
        <v>368</v>
      </c>
      <c r="F16" s="59">
        <f>1/50</f>
        <v>0.02</v>
      </c>
      <c r="G16" s="60">
        <v>50000</v>
      </c>
      <c r="H16" s="61">
        <f>ROUND(F16*G16,3)</f>
        <v>1000</v>
      </c>
      <c r="J16" s="75">
        <f>F16*$F$4</f>
        <v>0.02</v>
      </c>
      <c r="K16" s="67">
        <f>H16*$F$4</f>
        <v>1000</v>
      </c>
    </row>
    <row r="17" spans="2:11" ht="16">
      <c r="B17" s="62"/>
      <c r="C17" s="62"/>
      <c r="D17" s="63"/>
      <c r="E17" s="64" t="s">
        <v>451</v>
      </c>
      <c r="F17" s="120">
        <f>$F$4</f>
        <v>1</v>
      </c>
      <c r="G17" s="65">
        <f>SUM(H5:H16)</f>
        <v>136004.34700000001</v>
      </c>
      <c r="H17" s="65">
        <f t="shared" ref="H17" si="5">ROUND(F17*G17,3)</f>
        <v>136004.34700000001</v>
      </c>
      <c r="K17" s="76">
        <f>SUM(K5:K16)</f>
        <v>136004.34700000001</v>
      </c>
    </row>
    <row r="19" spans="2:11">
      <c r="C19" s="66"/>
    </row>
  </sheetData>
  <dataValidations count="1">
    <dataValidation type="list" allowBlank="1" showErrorMessage="1" sqref="C17 C4" xr:uid="{FA4B6966-CBCA-4042-9795-54BC41CD94CF}">
      <formula1>"Capítulo,Partida,Mano de obra,Maquinaria,Material,Otros,Tarea"</formula1>
    </dataValidation>
  </dataValidations>
  <hyperlinks>
    <hyperlink ref="B1" location="'01.- Presupuesto'!A1" display="02.- Presupuesto'!A1" xr:uid="{604DE146-B244-DB46-9952-CFD24F54FD0F}"/>
  </hyperlinks>
  <pageMargins left="0.7" right="0.7" top="0.75" bottom="0.75" header="0.3" footer="0.3"/>
  <pageSetup orientation="portrait" horizontalDpi="0" verticalDpi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1E8B-908C-4DF9-9728-EDDB158EB3E5}">
  <sheetPr>
    <tabColor theme="9" tint="0.59999389629810485"/>
  </sheetPr>
  <dimension ref="A1:Q18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157</v>
      </c>
      <c r="C4" s="53" t="s">
        <v>36</v>
      </c>
      <c r="D4" s="148" t="str">
        <f>'01.- Presupuesto'!F74</f>
        <v>m3</v>
      </c>
      <c r="E4" s="149" t="str">
        <f>'01.- Presupuesto'!C74</f>
        <v>Suministro e instalación de hormigón G-15 con aditivo imp, igol denso, pintura, junta poliuretano</v>
      </c>
      <c r="F4" s="73">
        <f>'01.- Presupuesto'!G74</f>
        <v>4.4486000000000008</v>
      </c>
      <c r="G4" s="55">
        <f>G16</f>
        <v>222362.554</v>
      </c>
      <c r="H4" s="55">
        <f>H16</f>
        <v>989202.05799999996</v>
      </c>
      <c r="J4" s="74" t="s">
        <v>30</v>
      </c>
      <c r="K4" s="74" t="s">
        <v>37</v>
      </c>
      <c r="M4" s="70">
        <f>SUMIF(C5:C28,"Material",K5:K28)</f>
        <v>697660.58775140019</v>
      </c>
      <c r="N4" s="70">
        <f>SUMIF(C5:C28,"Mano de Obra",K5:K28)</f>
        <v>221943.95041260004</v>
      </c>
      <c r="O4" s="70">
        <f>SUMIF(C5:C28,"Subcontrato",K5:K28)</f>
        <v>0</v>
      </c>
      <c r="P4" s="70">
        <f>SUMIF(C5:C28,"Ser&amp;Arr",K5:K28)</f>
        <v>69597.519560400018</v>
      </c>
      <c r="Q4" s="71">
        <f>SUM(M4:P4)</f>
        <v>989202.05772440031</v>
      </c>
    </row>
    <row r="5" spans="1:17" ht="16">
      <c r="B5" s="56"/>
      <c r="C5" s="56" t="s">
        <v>38</v>
      </c>
      <c r="D5" s="57" t="s">
        <v>67</v>
      </c>
      <c r="E5" s="58" t="s">
        <v>441</v>
      </c>
      <c r="F5" s="59">
        <v>1.1000000000000001</v>
      </c>
      <c r="G5" s="60">
        <f>HormG15</f>
        <v>104842.89</v>
      </c>
      <c r="H5" s="61">
        <f t="shared" ref="H5:H10" si="0">ROUND(F5*G5,3)</f>
        <v>115327.179</v>
      </c>
      <c r="J5" s="75">
        <f>F5*$F$4</f>
        <v>4.893460000000001</v>
      </c>
      <c r="K5" s="67">
        <f>H5*$F$4</f>
        <v>513044.48849940009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13" si="1">F6*$F$4</f>
        <v>0.44486000000000009</v>
      </c>
      <c r="K6" s="67">
        <f t="shared" ref="K6:K13" si="2">H6*$F$4</f>
        <v>5338.3200000000006</v>
      </c>
    </row>
    <row r="7" spans="1:17" ht="16">
      <c r="B7" s="56"/>
      <c r="C7" s="56" t="s">
        <v>38</v>
      </c>
      <c r="D7" s="57" t="s">
        <v>67</v>
      </c>
      <c r="E7" s="58" t="s">
        <v>442</v>
      </c>
      <c r="F7" s="59">
        <v>1.1000000000000001</v>
      </c>
      <c r="G7" s="60">
        <f>0.07*UF</f>
        <v>2748.69</v>
      </c>
      <c r="H7" s="61">
        <f t="shared" si="0"/>
        <v>3023.5590000000002</v>
      </c>
      <c r="J7" s="75">
        <f t="shared" si="1"/>
        <v>4.893460000000001</v>
      </c>
      <c r="K7" s="67">
        <f t="shared" si="2"/>
        <v>13450.604567400003</v>
      </c>
    </row>
    <row r="8" spans="1:17" ht="16">
      <c r="B8" s="56"/>
      <c r="C8" s="56" t="s">
        <v>38</v>
      </c>
      <c r="D8" s="57" t="s">
        <v>76</v>
      </c>
      <c r="E8" s="58" t="s">
        <v>443</v>
      </c>
      <c r="F8" s="59">
        <f>10*2*0.3/16</f>
        <v>0.375</v>
      </c>
      <c r="G8" s="60">
        <f>118290/1.19</f>
        <v>99403.361344537814</v>
      </c>
      <c r="H8" s="61">
        <f t="shared" si="0"/>
        <v>37276.260999999999</v>
      </c>
      <c r="J8" s="75">
        <f t="shared" ref="J8:J11" si="3">F8*$F$4</f>
        <v>1.6682250000000003</v>
      </c>
      <c r="K8" s="67">
        <f t="shared" ref="K8:K11" si="4">H8*$F$4</f>
        <v>165827.17468460003</v>
      </c>
    </row>
    <row r="9" spans="1:17" ht="16">
      <c r="B9" s="56"/>
      <c r="C9" s="56" t="s">
        <v>40</v>
      </c>
      <c r="D9" s="57" t="s">
        <v>41</v>
      </c>
      <c r="E9" s="58" t="s">
        <v>90</v>
      </c>
      <c r="F9" s="59">
        <f>1/3</f>
        <v>0.33333333333333331</v>
      </c>
      <c r="G9" s="60">
        <f>Maestro</f>
        <v>7250</v>
      </c>
      <c r="H9" s="61">
        <f t="shared" si="0"/>
        <v>2416.6669999999999</v>
      </c>
      <c r="J9" s="75">
        <f t="shared" si="3"/>
        <v>1.4828666666666668</v>
      </c>
      <c r="K9" s="67">
        <f t="shared" si="4"/>
        <v>10750.784816200001</v>
      </c>
    </row>
    <row r="10" spans="1:17" ht="16">
      <c r="B10" s="56"/>
      <c r="C10" s="56" t="s">
        <v>40</v>
      </c>
      <c r="D10" s="57" t="s">
        <v>41</v>
      </c>
      <c r="E10" s="58" t="s">
        <v>68</v>
      </c>
      <c r="F10" s="59">
        <f>4*(1/3)</f>
        <v>1.3333333333333333</v>
      </c>
      <c r="G10" s="60">
        <f>Jornal</f>
        <v>5397.2222222222226</v>
      </c>
      <c r="H10" s="61">
        <f t="shared" si="0"/>
        <v>7196.2960000000003</v>
      </c>
      <c r="J10" s="75">
        <f t="shared" si="3"/>
        <v>5.9314666666666671</v>
      </c>
      <c r="K10" s="67">
        <f t="shared" si="4"/>
        <v>32013.442385600007</v>
      </c>
    </row>
    <row r="11" spans="1:17" ht="16">
      <c r="B11" s="56"/>
      <c r="C11" s="56" t="s">
        <v>40</v>
      </c>
      <c r="D11" s="57" t="s">
        <v>41</v>
      </c>
      <c r="E11" s="58" t="s">
        <v>93</v>
      </c>
      <c r="F11" s="59">
        <f>10/2</f>
        <v>5</v>
      </c>
      <c r="G11" s="60">
        <f>Pintor</f>
        <v>8055.5555555555557</v>
      </c>
      <c r="H11" s="61">
        <f>ROUND(F11*G11,3)</f>
        <v>40277.777999999998</v>
      </c>
      <c r="J11" s="75">
        <f t="shared" si="3"/>
        <v>22.243000000000002</v>
      </c>
      <c r="K11" s="67">
        <f t="shared" si="4"/>
        <v>179179.72321080003</v>
      </c>
    </row>
    <row r="12" spans="1:17" ht="16">
      <c r="B12" s="56"/>
      <c r="C12" s="56" t="s">
        <v>54</v>
      </c>
      <c r="D12" s="57" t="s">
        <v>42</v>
      </c>
      <c r="E12" s="58" t="s">
        <v>55</v>
      </c>
      <c r="F12" s="59">
        <v>0.2</v>
      </c>
      <c r="G12" s="60">
        <f>SUM(H9:H11)</f>
        <v>49890.740999999995</v>
      </c>
      <c r="H12" s="61">
        <f>ROUND(F12*G12,3)</f>
        <v>9978.1479999999992</v>
      </c>
      <c r="J12" s="75">
        <f t="shared" si="1"/>
        <v>0.88972000000000018</v>
      </c>
      <c r="K12" s="67">
        <f t="shared" si="2"/>
        <v>44388.789192800003</v>
      </c>
    </row>
    <row r="13" spans="1:17" ht="16">
      <c r="B13" s="56"/>
      <c r="C13" s="56" t="s">
        <v>54</v>
      </c>
      <c r="D13" s="57" t="s">
        <v>71</v>
      </c>
      <c r="E13" s="58" t="s">
        <v>372</v>
      </c>
      <c r="F13" s="59">
        <f>1/3</f>
        <v>0.33333333333333331</v>
      </c>
      <c r="G13" s="60">
        <f>3500+3500</f>
        <v>7000</v>
      </c>
      <c r="H13" s="61">
        <f>ROUND(F13*G13,3)</f>
        <v>2333.3330000000001</v>
      </c>
      <c r="J13" s="75">
        <f t="shared" si="1"/>
        <v>1.4828666666666668</v>
      </c>
      <c r="K13" s="67">
        <f t="shared" si="2"/>
        <v>10380.065183800003</v>
      </c>
    </row>
    <row r="14" spans="1:17" ht="16">
      <c r="B14" s="56"/>
      <c r="C14" s="56" t="s">
        <v>54</v>
      </c>
      <c r="D14" s="57" t="s">
        <v>71</v>
      </c>
      <c r="E14" s="58" t="s">
        <v>373</v>
      </c>
      <c r="F14" s="59">
        <f>1/3</f>
        <v>0.33333333333333331</v>
      </c>
      <c r="G14" s="60">
        <f>3500+3500</f>
        <v>7000</v>
      </c>
      <c r="H14" s="61">
        <f>ROUND(F14*G14,3)</f>
        <v>2333.3330000000001</v>
      </c>
      <c r="J14" s="75">
        <f>F14*$F$4</f>
        <v>1.4828666666666668</v>
      </c>
      <c r="K14" s="67">
        <f>H14*$F$4</f>
        <v>10380.065183800003</v>
      </c>
    </row>
    <row r="15" spans="1:17" ht="16">
      <c r="B15" s="56"/>
      <c r="C15" s="56" t="s">
        <v>54</v>
      </c>
      <c r="D15" s="57" t="s">
        <v>76</v>
      </c>
      <c r="E15" s="58" t="s">
        <v>368</v>
      </c>
      <c r="F15" s="59">
        <f>1/50</f>
        <v>0.02</v>
      </c>
      <c r="G15" s="60">
        <v>50000</v>
      </c>
      <c r="H15" s="61">
        <f>ROUND(F15*G15,3)</f>
        <v>1000</v>
      </c>
      <c r="J15" s="75">
        <f>F15*$F$4</f>
        <v>8.8972000000000023E-2</v>
      </c>
      <c r="K15" s="67">
        <f>H15*$F$4</f>
        <v>4448.6000000000004</v>
      </c>
    </row>
    <row r="16" spans="1:17" ht="16">
      <c r="B16" s="62"/>
      <c r="C16" s="62"/>
      <c r="D16" s="63"/>
      <c r="E16" s="64" t="s">
        <v>445</v>
      </c>
      <c r="F16" s="120">
        <f>$F$4</f>
        <v>4.4486000000000008</v>
      </c>
      <c r="G16" s="65">
        <f>SUM(H5:H15)</f>
        <v>222362.554</v>
      </c>
      <c r="H16" s="65">
        <f t="shared" ref="H16" si="5">ROUND(F16*G16,3)</f>
        <v>989202.05799999996</v>
      </c>
      <c r="K16" s="76">
        <f>SUM(K5:K15)</f>
        <v>989202.05772440007</v>
      </c>
    </row>
    <row r="18" spans="3:3">
      <c r="C18" s="66"/>
    </row>
  </sheetData>
  <dataValidations count="1">
    <dataValidation type="list" allowBlank="1" showErrorMessage="1" sqref="C16 C4" xr:uid="{DBA5D480-7755-4191-A063-ACD2FA43DD36}">
      <formula1>"Capítulo,Partida,Mano de obra,Maquinaria,Material,Otros,Tarea"</formula1>
    </dataValidation>
  </dataValidations>
  <hyperlinks>
    <hyperlink ref="B1" location="'01.- Presupuesto'!A1" display="02.- Presupuesto'!A1" xr:uid="{ADA3F46D-140B-D840-92A5-3FCC8E0667AC}"/>
  </hyperlinks>
  <pageMargins left="0.7" right="0.7" top="0.75" bottom="0.75" header="0.3" footer="0.3"/>
  <pageSetup orientation="portrait" horizontalDpi="0" verticalDpi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893B-E8A2-4997-833B-90DCB41ECA3A}">
  <sheetPr>
    <tabColor theme="9" tint="0.59999389629810485"/>
  </sheetPr>
  <dimension ref="A1:Q12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162</v>
      </c>
      <c r="C4" s="53" t="s">
        <v>36</v>
      </c>
      <c r="D4" s="148" t="str">
        <f>'01.- Presupuesto'!F75</f>
        <v>m3</v>
      </c>
      <c r="E4" s="149" t="str">
        <f>'01.- Presupuesto'!C75</f>
        <v>Suministro e instalación emplantillado hormigón G5</v>
      </c>
      <c r="F4" s="73">
        <f>'01.- Presupuesto'!G75</f>
        <v>1.1121500000000002</v>
      </c>
      <c r="G4" s="55">
        <f>G10</f>
        <v>120719.806</v>
      </c>
      <c r="H4" s="55">
        <f>H10</f>
        <v>134258.53200000001</v>
      </c>
      <c r="J4" s="74" t="s">
        <v>30</v>
      </c>
      <c r="K4" s="74" t="s">
        <v>37</v>
      </c>
      <c r="M4" s="70">
        <f>SUMIF(C5:C22,"Material",K5:K22)</f>
        <v>121429.26363750003</v>
      </c>
      <c r="N4" s="70">
        <f>SUMIF(C5:C22,"Mano de Obra",K5:K22)</f>
        <v>10691.056800450002</v>
      </c>
      <c r="O4" s="70">
        <f>SUMIF(C5:C22,"Subcontrato",K5:K22)</f>
        <v>0</v>
      </c>
      <c r="P4" s="70">
        <f>SUMIF(C5:C22,"Ser&amp;Arr",K5:K22)</f>
        <v>2138.2118049500004</v>
      </c>
      <c r="Q4" s="71">
        <f>SUM(M4:P4)</f>
        <v>134258.53224290002</v>
      </c>
    </row>
    <row r="5" spans="1:17" ht="16">
      <c r="B5" s="56"/>
      <c r="C5" s="56" t="s">
        <v>38</v>
      </c>
      <c r="D5" s="57" t="s">
        <v>67</v>
      </c>
      <c r="E5" s="58" t="s">
        <v>383</v>
      </c>
      <c r="F5" s="59">
        <v>1.1000000000000001</v>
      </c>
      <c r="G5" s="60">
        <f>HormG5</f>
        <v>98167.5</v>
      </c>
      <c r="H5" s="61">
        <f t="shared" ref="H5:H8" si="0">ROUND(F5*G5,3)</f>
        <v>107984.25</v>
      </c>
      <c r="J5" s="75">
        <f>F5*$F$4</f>
        <v>1.2233650000000003</v>
      </c>
      <c r="K5" s="67">
        <f>H5*$F$4</f>
        <v>120094.68363750003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9" si="1">F6*$F$4</f>
        <v>0.11121500000000002</v>
      </c>
      <c r="K6" s="67">
        <f t="shared" ref="K6:K9" si="2">H6*$F$4</f>
        <v>1334.5800000000002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</f>
        <v>0.33333333333333331</v>
      </c>
      <c r="G7" s="60">
        <f>Maestro</f>
        <v>7250</v>
      </c>
      <c r="H7" s="61">
        <f t="shared" si="0"/>
        <v>2416.6669999999999</v>
      </c>
      <c r="J7" s="75">
        <f t="shared" si="1"/>
        <v>0.37071666666666669</v>
      </c>
      <c r="K7" s="67">
        <f t="shared" si="2"/>
        <v>2687.6962040500002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</f>
        <v>1.3333333333333333</v>
      </c>
      <c r="G8" s="60">
        <f>Jornal</f>
        <v>5397.2222222222226</v>
      </c>
      <c r="H8" s="61">
        <f t="shared" si="0"/>
        <v>7196.2960000000003</v>
      </c>
      <c r="J8" s="75">
        <f t="shared" si="1"/>
        <v>1.4828666666666668</v>
      </c>
      <c r="K8" s="67">
        <f t="shared" si="2"/>
        <v>8003.3605964000017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9612.9629999999997</v>
      </c>
      <c r="H9" s="61">
        <f>ROUND(F9*G9,3)</f>
        <v>1922.5930000000001</v>
      </c>
      <c r="J9" s="75">
        <f t="shared" si="1"/>
        <v>0.22243000000000004</v>
      </c>
      <c r="K9" s="67">
        <f t="shared" si="2"/>
        <v>2138.2118049500004</v>
      </c>
    </row>
    <row r="10" spans="1:17" ht="16">
      <c r="B10" s="62"/>
      <c r="C10" s="62"/>
      <c r="D10" s="63"/>
      <c r="E10" s="64" t="s">
        <v>414</v>
      </c>
      <c r="F10" s="120">
        <f>$F$4</f>
        <v>1.1121500000000002</v>
      </c>
      <c r="G10" s="65">
        <f>SUM(H5:H9)</f>
        <v>120719.806</v>
      </c>
      <c r="H10" s="65">
        <f t="shared" ref="H10" si="3">ROUND(F10*G10,3)</f>
        <v>134258.53200000001</v>
      </c>
      <c r="K10" s="76">
        <f>SUM(K5:K9)</f>
        <v>134258.53224290002</v>
      </c>
    </row>
    <row r="12" spans="1:17">
      <c r="C12" s="66"/>
    </row>
  </sheetData>
  <dataValidations count="1">
    <dataValidation type="list" allowBlank="1" showErrorMessage="1" sqref="C10 C4" xr:uid="{964F9660-963C-4C63-8CD9-813BACE6C860}">
      <formula1>"Capítulo,Partida,Mano de obra,Maquinaria,Material,Otros,Tarea"</formula1>
    </dataValidation>
  </dataValidations>
  <hyperlinks>
    <hyperlink ref="B1" location="'01.- Presupuesto'!A1" display="02.- Presupuesto'!A1" xr:uid="{CB768775-9602-434D-B15B-61DEA9F4403E}"/>
  </hyperlinks>
  <pageMargins left="0.7" right="0.7" top="0.75" bottom="0.75" header="0.3" footer="0.3"/>
  <pageSetup orientation="portrait" horizontalDpi="0" verticalDpi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B351-3489-4858-91DF-7B900FA2FCD0}">
  <sheetPr>
    <tabColor theme="9" tint="0.59999389629810485"/>
  </sheetPr>
  <dimension ref="A1:Q15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163</v>
      </c>
      <c r="C4" s="53" t="s">
        <v>36</v>
      </c>
      <c r="D4" s="148" t="str">
        <f>'01.- Presupuesto'!F76</f>
        <v>m3</v>
      </c>
      <c r="E4" s="149" t="str">
        <f>'01.- Presupuesto'!C76</f>
        <v>Suministro e Instalación relleno estructural compactado al 95% DMSC</v>
      </c>
      <c r="F4" s="73">
        <f>'01.- Presupuesto'!G76</f>
        <v>16</v>
      </c>
      <c r="G4" s="55">
        <f>G13</f>
        <v>55574.597000000002</v>
      </c>
      <c r="H4" s="55">
        <f>H13</f>
        <v>889193.55200000003</v>
      </c>
      <c r="J4" s="74" t="s">
        <v>30</v>
      </c>
      <c r="K4" s="74" t="s">
        <v>37</v>
      </c>
      <c r="M4" s="70">
        <f>SUMIF(C5:C25,"Material",K5:K25)</f>
        <v>416000</v>
      </c>
      <c r="N4" s="70">
        <f>SUMIF(C5:C25,"Mano de Obra",K5:K25)</f>
        <v>23071.103999999999</v>
      </c>
      <c r="O4" s="70">
        <f>SUMIF(C5:C25,"Subcontrato",K5:K25)</f>
        <v>0</v>
      </c>
      <c r="P4" s="70">
        <f>SUMIF(C5:C25,"Ser&amp;Arr",K5:K25)</f>
        <v>450122.44799999997</v>
      </c>
      <c r="Q4" s="71">
        <f>SUM(M4:P4)</f>
        <v>889193.55199999991</v>
      </c>
    </row>
    <row r="5" spans="1:17" ht="16">
      <c r="B5" s="56"/>
      <c r="C5" s="56" t="s">
        <v>38</v>
      </c>
      <c r="D5" s="57" t="s">
        <v>67</v>
      </c>
      <c r="E5" s="58" t="s">
        <v>362</v>
      </c>
      <c r="F5" s="59">
        <v>1.3</v>
      </c>
      <c r="G5" s="60">
        <f>Base50</f>
        <v>20000</v>
      </c>
      <c r="H5" s="61">
        <f t="shared" ref="H5:H12" si="0">ROUND(F5*G5,3)</f>
        <v>26000</v>
      </c>
      <c r="J5" s="75">
        <f>F5*$F$4</f>
        <v>20.8</v>
      </c>
      <c r="K5" s="67">
        <f>H5*$F$4</f>
        <v>416000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1/20</f>
        <v>0.05</v>
      </c>
      <c r="G6" s="60">
        <f>Maestro</f>
        <v>7250</v>
      </c>
      <c r="H6" s="61">
        <f t="shared" si="0"/>
        <v>362.5</v>
      </c>
      <c r="J6" s="75">
        <f t="shared" ref="J6:J10" si="1">F6*$F$4</f>
        <v>0.8</v>
      </c>
      <c r="K6" s="67">
        <f t="shared" ref="K6:K10" si="2">H6*$F$4</f>
        <v>5800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4*1/20</f>
        <v>0.2</v>
      </c>
      <c r="G7" s="60">
        <f>Jornal</f>
        <v>5397.2222222222226</v>
      </c>
      <c r="H7" s="61">
        <f t="shared" si="0"/>
        <v>1079.444</v>
      </c>
      <c r="J7" s="75">
        <f t="shared" si="1"/>
        <v>3.2</v>
      </c>
      <c r="K7" s="67">
        <f t="shared" si="2"/>
        <v>17271.103999999999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1441.944</v>
      </c>
      <c r="H8" s="61">
        <f>ROUND(F8*G8,3)</f>
        <v>288.38900000000001</v>
      </c>
      <c r="J8" s="75">
        <f t="shared" si="1"/>
        <v>3.2</v>
      </c>
      <c r="K8" s="67">
        <f t="shared" si="2"/>
        <v>4614.2240000000002</v>
      </c>
    </row>
    <row r="9" spans="1:17" ht="16">
      <c r="B9" s="56"/>
      <c r="C9" s="56" t="s">
        <v>54</v>
      </c>
      <c r="D9" s="57" t="s">
        <v>348</v>
      </c>
      <c r="E9" s="58" t="s">
        <v>350</v>
      </c>
      <c r="F9" s="59">
        <f>1/20</f>
        <v>0.05</v>
      </c>
      <c r="G9" s="60">
        <f>Retroexcavadora</f>
        <v>32000</v>
      </c>
      <c r="H9" s="61">
        <f t="shared" si="0"/>
        <v>1600</v>
      </c>
      <c r="J9" s="75">
        <f t="shared" si="1"/>
        <v>0.8</v>
      </c>
      <c r="K9" s="67">
        <f t="shared" si="2"/>
        <v>25600</v>
      </c>
    </row>
    <row r="10" spans="1:17" ht="16">
      <c r="B10" s="56"/>
      <c r="C10" s="56" t="s">
        <v>54</v>
      </c>
      <c r="D10" s="57" t="s">
        <v>71</v>
      </c>
      <c r="E10" s="58" t="s">
        <v>385</v>
      </c>
      <c r="F10" s="59">
        <f>1/20/8</f>
        <v>6.2500000000000003E-3</v>
      </c>
      <c r="G10" s="60">
        <v>25000</v>
      </c>
      <c r="H10" s="61">
        <f t="shared" si="0"/>
        <v>156.25</v>
      </c>
      <c r="J10" s="75">
        <f t="shared" si="1"/>
        <v>0.1</v>
      </c>
      <c r="K10" s="67">
        <f t="shared" si="2"/>
        <v>2500</v>
      </c>
    </row>
    <row r="11" spans="1:17" ht="16">
      <c r="B11" s="56"/>
      <c r="C11" s="56" t="s">
        <v>54</v>
      </c>
      <c r="D11" s="57" t="s">
        <v>76</v>
      </c>
      <c r="E11" s="58" t="s">
        <v>358</v>
      </c>
      <c r="F11" s="59">
        <f>1/F4</f>
        <v>6.25E-2</v>
      </c>
      <c r="G11" s="60">
        <f>(0.6+4.4)*UF</f>
        <v>196335</v>
      </c>
      <c r="H11" s="61">
        <f t="shared" si="0"/>
        <v>12270.938</v>
      </c>
      <c r="J11" s="75">
        <f>F11*$F$4</f>
        <v>1</v>
      </c>
      <c r="K11" s="67">
        <f>H11*$F$4</f>
        <v>196335.008</v>
      </c>
    </row>
    <row r="12" spans="1:17" ht="16">
      <c r="B12" s="56"/>
      <c r="C12" s="56" t="s">
        <v>54</v>
      </c>
      <c r="D12" s="57" t="s">
        <v>76</v>
      </c>
      <c r="E12" s="58" t="s">
        <v>386</v>
      </c>
      <c r="F12" s="59">
        <f>3/F4</f>
        <v>0.1875</v>
      </c>
      <c r="G12" s="60">
        <f>(0.41+4.4/3)*UF</f>
        <v>73691.070000000007</v>
      </c>
      <c r="H12" s="61">
        <f t="shared" si="0"/>
        <v>13817.075999999999</v>
      </c>
      <c r="J12" s="75">
        <f>F12*$F$4</f>
        <v>3</v>
      </c>
      <c r="K12" s="67">
        <f>H12*$F$4</f>
        <v>221073.21599999999</v>
      </c>
    </row>
    <row r="13" spans="1:17" ht="16">
      <c r="B13" s="62"/>
      <c r="C13" s="62"/>
      <c r="D13" s="63"/>
      <c r="E13" s="64" t="s">
        <v>416</v>
      </c>
      <c r="F13" s="120">
        <f>$F$4</f>
        <v>16</v>
      </c>
      <c r="G13" s="65">
        <f>SUM(H5:H12)</f>
        <v>55574.597000000002</v>
      </c>
      <c r="H13" s="65">
        <f t="shared" ref="H13" si="3">ROUND(F13*G13,3)</f>
        <v>889193.55200000003</v>
      </c>
      <c r="K13" s="76">
        <f>SUM(K5:K12)</f>
        <v>889193.55200000003</v>
      </c>
    </row>
    <row r="15" spans="1:17">
      <c r="C15" s="66"/>
    </row>
  </sheetData>
  <dataValidations count="1">
    <dataValidation type="list" allowBlank="1" showErrorMessage="1" sqref="C13 C4" xr:uid="{57FD86B2-A718-4F20-802E-3F3429DEE26A}">
      <formula1>"Capítulo,Partida,Mano de obra,Maquinaria,Material,Otros,Tarea"</formula1>
    </dataValidation>
  </dataValidations>
  <hyperlinks>
    <hyperlink ref="B1" location="'01.- Presupuesto'!A1" display="02.- Presupuesto'!A1" xr:uid="{0B6F446E-BEA8-B446-BFF4-59CA8008B0D8}"/>
  </hyperlinks>
  <pageMargins left="0.7" right="0.7" top="0.75" bottom="0.75" header="0.3" footer="0.3"/>
  <pageSetup orientation="portrait" horizontalDpi="0" verticalDpi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AD91-3698-4427-8E67-745B565BF106}">
  <sheetPr>
    <tabColor theme="9" tint="0.59999389629810485"/>
  </sheetPr>
  <dimension ref="A1:Q11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164</v>
      </c>
      <c r="C4" s="53" t="s">
        <v>36</v>
      </c>
      <c r="D4" s="148" t="str">
        <f>'01.- Presupuesto'!F77</f>
        <v>m3</v>
      </c>
      <c r="E4" s="149" t="str">
        <f>'01.- Presupuesto'!C77</f>
        <v>Excavación maquinaría local y traslado a botadero, hasta 20 Km</v>
      </c>
      <c r="F4" s="73">
        <f>'01.- Presupuesto'!G77</f>
        <v>7.78505</v>
      </c>
      <c r="G4" s="55">
        <f>G9</f>
        <v>25500</v>
      </c>
      <c r="H4" s="55">
        <f>H9</f>
        <v>198518.77499999999</v>
      </c>
      <c r="J4" s="74" t="s">
        <v>30</v>
      </c>
      <c r="K4" s="74" t="s">
        <v>37</v>
      </c>
      <c r="M4" s="70">
        <f>SUMIF(C5:C21,"Material",K5:K21)</f>
        <v>0</v>
      </c>
      <c r="N4" s="70">
        <f>SUMIF(C5:C21,"Mano de Obra",K5:K21)</f>
        <v>0</v>
      </c>
      <c r="O4" s="70">
        <f>SUMIF(C5:C21,"Subcontrato",K5:K21)</f>
        <v>0</v>
      </c>
      <c r="P4" s="70">
        <f>SUMIF(C5:C21,"Ser&amp;Arr",K5:K21)</f>
        <v>198518.77500000002</v>
      </c>
      <c r="Q4" s="71">
        <f>SUM(M4:P4)</f>
        <v>198518.77500000002</v>
      </c>
    </row>
    <row r="5" spans="1:17" ht="16">
      <c r="B5" s="56"/>
      <c r="C5" s="56" t="s">
        <v>54</v>
      </c>
      <c r="D5" s="57" t="s">
        <v>348</v>
      </c>
      <c r="E5" s="58" t="s">
        <v>353</v>
      </c>
      <c r="F5" s="59">
        <f>1/20</f>
        <v>0.05</v>
      </c>
      <c r="G5" s="60">
        <f>Excavadora</f>
        <v>50000</v>
      </c>
      <c r="H5" s="61">
        <f t="shared" ref="H5:H8" si="0">ROUND(F5*G5,3)</f>
        <v>2500</v>
      </c>
      <c r="J5" s="75">
        <f>F5*$F$4</f>
        <v>0.3892525</v>
      </c>
      <c r="K5" s="67">
        <f>H5*$F$4</f>
        <v>19462.625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8" si="1">F6*$F$4</f>
        <v>0.3892525</v>
      </c>
      <c r="K6" s="67">
        <f t="shared" ref="K6:K8" si="2">H6*$F$4</f>
        <v>12456.08</v>
      </c>
    </row>
    <row r="7" spans="1:17" ht="16">
      <c r="B7" s="56"/>
      <c r="C7" s="56" t="s">
        <v>54</v>
      </c>
      <c r="D7" s="57" t="s">
        <v>348</v>
      </c>
      <c r="E7" s="58" t="s">
        <v>349</v>
      </c>
      <c r="F7" s="59">
        <f>1/20</f>
        <v>0.05</v>
      </c>
      <c r="G7" s="60">
        <f>Tolva</f>
        <v>38000</v>
      </c>
      <c r="H7" s="61">
        <f t="shared" si="0"/>
        <v>1900</v>
      </c>
      <c r="J7" s="75">
        <f t="shared" si="1"/>
        <v>0.3892525</v>
      </c>
      <c r="K7" s="67">
        <f t="shared" si="2"/>
        <v>14791.594999999999</v>
      </c>
    </row>
    <row r="8" spans="1:17" ht="16">
      <c r="B8" s="56"/>
      <c r="C8" s="56" t="s">
        <v>54</v>
      </c>
      <c r="D8" s="57" t="s">
        <v>67</v>
      </c>
      <c r="E8" s="58" t="s">
        <v>70</v>
      </c>
      <c r="F8" s="59">
        <v>1.3</v>
      </c>
      <c r="G8" s="60">
        <v>15000</v>
      </c>
      <c r="H8" s="61">
        <f t="shared" si="0"/>
        <v>19500</v>
      </c>
      <c r="J8" s="75">
        <f t="shared" si="1"/>
        <v>10.120565000000001</v>
      </c>
      <c r="K8" s="67">
        <f t="shared" si="2"/>
        <v>151808.47500000001</v>
      </c>
    </row>
    <row r="9" spans="1:17" ht="16">
      <c r="B9" s="62"/>
      <c r="C9" s="62"/>
      <c r="D9" s="63"/>
      <c r="E9" s="64" t="s">
        <v>415</v>
      </c>
      <c r="F9" s="120">
        <f>$F$4</f>
        <v>7.78505</v>
      </c>
      <c r="G9" s="65">
        <f>SUM(H5:H8)</f>
        <v>25500</v>
      </c>
      <c r="H9" s="65">
        <f t="shared" ref="H9" si="3">ROUND(F9*G9,3)</f>
        <v>198518.77499999999</v>
      </c>
      <c r="K9" s="76">
        <f>SUM(K5:K8)</f>
        <v>198518.77500000002</v>
      </c>
    </row>
    <row r="11" spans="1:17">
      <c r="C11" s="66"/>
    </row>
  </sheetData>
  <dataValidations count="1">
    <dataValidation type="list" allowBlank="1" showErrorMessage="1" sqref="C9 C4" xr:uid="{A50A3110-B043-42A9-9E50-DBA0A40C432B}">
      <formula1>"Capítulo,Partida,Mano de obra,Maquinaria,Material,Otros,Tarea"</formula1>
    </dataValidation>
  </dataValidations>
  <hyperlinks>
    <hyperlink ref="B1" location="'01.- Presupuesto'!A1" display="02.- Presupuesto'!A1" xr:uid="{0B44B8C1-12FD-E148-9AFD-C56C6D6DE928}"/>
  </hyperlinks>
  <pageMargins left="0.7" right="0.7" top="0.75" bottom="0.75" header="0.3" footer="0.3"/>
  <pageSetup orientation="portrait" horizontalDpi="0" verticalDpi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EE2C-ADFC-402F-8BF8-355040D75EBF}">
  <sheetPr>
    <tabColor theme="9" tint="0.59999389629810485"/>
  </sheetPr>
  <dimension ref="A1:Q14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165</v>
      </c>
      <c r="C4" s="53" t="s">
        <v>36</v>
      </c>
      <c r="D4" s="148" t="str">
        <f>'01.- Presupuesto'!F78</f>
        <v>m2</v>
      </c>
      <c r="E4" s="149" t="str">
        <f>'01.- Presupuesto'!C78</f>
        <v>Suministro y construcción moldajes de madera o metálicos</v>
      </c>
      <c r="F4" s="73">
        <f>'01.- Presupuesto'!G78</f>
        <v>4.1960000000000006</v>
      </c>
      <c r="G4" s="55">
        <f>G12</f>
        <v>16475.795999999998</v>
      </c>
      <c r="H4" s="55">
        <f>H12</f>
        <v>69132.44</v>
      </c>
      <c r="J4" s="74" t="s">
        <v>30</v>
      </c>
      <c r="K4" s="74" t="s">
        <v>37</v>
      </c>
      <c r="M4" s="70">
        <f>SUMIF(C5:C24,"Material",K5:K24)</f>
        <v>49663.000016000013</v>
      </c>
      <c r="N4" s="70">
        <f>SUMIF(C5:C24,"Mano de Obra",K5:K24)</f>
        <v>16224.534732000002</v>
      </c>
      <c r="O4" s="70">
        <f>SUMIF(C5:C24,"Subcontrato",K5:K24)</f>
        <v>0</v>
      </c>
      <c r="P4" s="70">
        <f>SUMIF(C5:C24,"Ser&amp;Arr",K5:K24)</f>
        <v>3244.9052680000004</v>
      </c>
      <c r="Q4" s="71">
        <f>SUM(M4:P4)</f>
        <v>69132.440016000022</v>
      </c>
    </row>
    <row r="5" spans="1:17" ht="16">
      <c r="B5" s="56"/>
      <c r="C5" s="56" t="s">
        <v>38</v>
      </c>
      <c r="D5" s="57" t="s">
        <v>39</v>
      </c>
      <c r="E5" s="58" t="s">
        <v>390</v>
      </c>
      <c r="F5" s="59">
        <f>1/0.48</f>
        <v>2.0833333333333335</v>
      </c>
      <c r="G5" s="60">
        <v>2400</v>
      </c>
      <c r="H5" s="61">
        <f t="shared" ref="H5:H10" si="0">ROUND(F5*G5,3)</f>
        <v>5000</v>
      </c>
      <c r="J5" s="75">
        <f>F5*$F$4</f>
        <v>8.7416666666666689</v>
      </c>
      <c r="K5" s="67">
        <f>H5*$F$4</f>
        <v>20980.000000000004</v>
      </c>
    </row>
    <row r="6" spans="1:17" ht="16">
      <c r="B6" s="56"/>
      <c r="C6" s="56" t="s">
        <v>38</v>
      </c>
      <c r="D6" s="57" t="s">
        <v>39</v>
      </c>
      <c r="E6" s="58" t="s">
        <v>391</v>
      </c>
      <c r="F6" s="59">
        <f>1.05*1/(1.22*2.44)</f>
        <v>0.35272776135447464</v>
      </c>
      <c r="G6" s="60">
        <v>16966</v>
      </c>
      <c r="H6" s="61">
        <f t="shared" si="0"/>
        <v>5984.3789999999999</v>
      </c>
      <c r="J6" s="75">
        <f t="shared" ref="J6:J10" si="1">F6*$F$4</f>
        <v>1.4800456866433758</v>
      </c>
      <c r="K6" s="67">
        <f t="shared" ref="K6:K10" si="2">H6*$F$4</f>
        <v>25110.454284000003</v>
      </c>
    </row>
    <row r="7" spans="1:17" ht="16">
      <c r="B7" s="56"/>
      <c r="C7" s="56" t="s">
        <v>38</v>
      </c>
      <c r="D7" s="57" t="s">
        <v>75</v>
      </c>
      <c r="E7" s="58" t="s">
        <v>392</v>
      </c>
      <c r="F7" s="59">
        <f>1/4</f>
        <v>0.25</v>
      </c>
      <c r="G7" s="60">
        <v>1184</v>
      </c>
      <c r="H7" s="61">
        <f t="shared" si="0"/>
        <v>296</v>
      </c>
      <c r="J7" s="75">
        <f t="shared" si="1"/>
        <v>1.0490000000000002</v>
      </c>
      <c r="K7" s="67">
        <f t="shared" si="2"/>
        <v>1242.0160000000001</v>
      </c>
    </row>
    <row r="8" spans="1:17" ht="16">
      <c r="B8" s="56"/>
      <c r="C8" s="56" t="s">
        <v>38</v>
      </c>
      <c r="D8" s="57" t="s">
        <v>39</v>
      </c>
      <c r="E8" s="58" t="s">
        <v>393</v>
      </c>
      <c r="F8" s="59">
        <f>1/72</f>
        <v>1.3888888888888888E-2</v>
      </c>
      <c r="G8" s="60">
        <v>39990</v>
      </c>
      <c r="H8" s="61">
        <f t="shared" si="0"/>
        <v>555.41700000000003</v>
      </c>
      <c r="J8" s="75">
        <f t="shared" si="1"/>
        <v>5.8277777777777783E-2</v>
      </c>
      <c r="K8" s="67">
        <f t="shared" si="2"/>
        <v>2330.5297320000004</v>
      </c>
    </row>
    <row r="9" spans="1:17" ht="16">
      <c r="B9" s="56"/>
      <c r="C9" s="56" t="s">
        <v>40</v>
      </c>
      <c r="D9" s="57" t="s">
        <v>41</v>
      </c>
      <c r="E9" s="58" t="s">
        <v>90</v>
      </c>
      <c r="F9" s="59">
        <f>0.3</f>
        <v>0.3</v>
      </c>
      <c r="G9" s="60">
        <f>Maestro</f>
        <v>7250</v>
      </c>
      <c r="H9" s="61">
        <f t="shared" si="0"/>
        <v>2175</v>
      </c>
      <c r="J9" s="75">
        <f t="shared" si="1"/>
        <v>1.2588000000000001</v>
      </c>
      <c r="K9" s="67">
        <f t="shared" si="2"/>
        <v>9126.3000000000011</v>
      </c>
    </row>
    <row r="10" spans="1:17" ht="16">
      <c r="B10" s="56"/>
      <c r="C10" s="56" t="s">
        <v>40</v>
      </c>
      <c r="D10" s="57" t="s">
        <v>41</v>
      </c>
      <c r="E10" s="58" t="s">
        <v>91</v>
      </c>
      <c r="F10" s="59">
        <f>0.3</f>
        <v>0.3</v>
      </c>
      <c r="G10" s="60">
        <f>Ayudante</f>
        <v>5638.8888888888887</v>
      </c>
      <c r="H10" s="61">
        <f t="shared" si="0"/>
        <v>1691.6669999999999</v>
      </c>
      <c r="J10" s="75">
        <f t="shared" si="1"/>
        <v>1.2588000000000001</v>
      </c>
      <c r="K10" s="67">
        <f t="shared" si="2"/>
        <v>7098.2347320000008</v>
      </c>
    </row>
    <row r="11" spans="1:17" ht="16">
      <c r="B11" s="56"/>
      <c r="C11" s="56" t="s">
        <v>54</v>
      </c>
      <c r="D11" s="57" t="s">
        <v>42</v>
      </c>
      <c r="E11" s="58" t="s">
        <v>55</v>
      </c>
      <c r="F11" s="59">
        <v>0.2</v>
      </c>
      <c r="G11" s="60">
        <f>SUM(H9:H10)</f>
        <v>3866.6669999999999</v>
      </c>
      <c r="H11" s="61">
        <f>ROUND(F11*G11,3)</f>
        <v>773.33299999999997</v>
      </c>
      <c r="J11" s="75">
        <f>F11*$F$4</f>
        <v>0.83920000000000017</v>
      </c>
      <c r="K11" s="67">
        <f>H11*$F$4</f>
        <v>3244.9052680000004</v>
      </c>
    </row>
    <row r="12" spans="1:17" ht="16">
      <c r="B12" s="62"/>
      <c r="C12" s="62"/>
      <c r="D12" s="63"/>
      <c r="E12" s="64" t="s">
        <v>417</v>
      </c>
      <c r="F12" s="120">
        <f>$F$4</f>
        <v>4.1960000000000006</v>
      </c>
      <c r="G12" s="65">
        <f>SUM(H5:H11)</f>
        <v>16475.795999999998</v>
      </c>
      <c r="H12" s="65">
        <f t="shared" ref="H12" si="3">ROUND(F12*G12,3)</f>
        <v>69132.44</v>
      </c>
      <c r="K12" s="76">
        <f>SUM(K5:K11)</f>
        <v>69132.440016000022</v>
      </c>
    </row>
    <row r="14" spans="1:17">
      <c r="C14" s="66"/>
    </row>
  </sheetData>
  <dataValidations count="1">
    <dataValidation type="list" allowBlank="1" showErrorMessage="1" sqref="C12 C4" xr:uid="{CECAE74E-B21A-40B7-8CCD-87B660B2CCE3}">
      <formula1>"Capítulo,Partida,Mano de obra,Maquinaria,Material,Otros,Tarea"</formula1>
    </dataValidation>
  </dataValidations>
  <hyperlinks>
    <hyperlink ref="B1" location="'01.- Presupuesto'!A1" display="02.- Presupuesto'!A1" xr:uid="{C513477B-9FD3-914C-98D1-D5A29DC09DA4}"/>
  </hyperlinks>
  <pageMargins left="0.7" right="0.7" top="0.75" bottom="0.75" header="0.3" footer="0.3"/>
  <pageSetup orientation="portrait" horizontalDpi="0" verticalDpi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21DF-55F4-41E9-8E4D-820D56FE0F10}">
  <sheetPr>
    <tabColor theme="9" tint="0.59999389629810485"/>
  </sheetPr>
  <dimension ref="A1:Q11"/>
  <sheetViews>
    <sheetView showGridLines="0" zoomScaleNormal="100" workbookViewId="0">
      <selection activeCell="E42" sqref="E42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166</v>
      </c>
      <c r="C4" s="53" t="s">
        <v>36</v>
      </c>
      <c r="D4" s="148" t="str">
        <f>'01.- Presupuesto'!F79</f>
        <v>un</v>
      </c>
      <c r="E4" s="149" t="str">
        <f>'01.- Presupuesto'!C79</f>
        <v>Suministro e instalación de pernos de anclaje químico</v>
      </c>
      <c r="F4" s="73">
        <f>'01.- Presupuesto'!G79</f>
        <v>10</v>
      </c>
      <c r="G4" s="55">
        <f>G9</f>
        <v>11342.214</v>
      </c>
      <c r="H4" s="55">
        <f>H9</f>
        <v>113422.14</v>
      </c>
      <c r="J4" s="74" t="s">
        <v>30</v>
      </c>
      <c r="K4" s="74" t="s">
        <v>37</v>
      </c>
      <c r="M4" s="70">
        <f>SUMIF(C5:C21,"Material",K5:K21)</f>
        <v>98922.14</v>
      </c>
      <c r="N4" s="70">
        <f>SUMIF(C5:C21,"Mano de Obra",K5:K21)</f>
        <v>12083.330000000002</v>
      </c>
      <c r="O4" s="70">
        <f>SUMIF(C5:C21,"Subcontrato",K5:K21)</f>
        <v>0</v>
      </c>
      <c r="P4" s="70">
        <f>SUMIF(C5:C21,"Ser&amp;Arr",K5:K21)</f>
        <v>2416.67</v>
      </c>
      <c r="Q4" s="71">
        <f>SUM(M4:P4)</f>
        <v>113422.14</v>
      </c>
    </row>
    <row r="5" spans="1:17" ht="16">
      <c r="B5" s="56"/>
      <c r="C5" s="56" t="s">
        <v>38</v>
      </c>
      <c r="D5" s="57" t="s">
        <v>39</v>
      </c>
      <c r="E5" s="58" t="s">
        <v>435</v>
      </c>
      <c r="F5" s="59">
        <v>1</v>
      </c>
      <c r="G5" s="60">
        <v>9600</v>
      </c>
      <c r="H5" s="61">
        <f t="shared" ref="H5:H7" si="0">ROUND(F5*G5,3)</f>
        <v>9600</v>
      </c>
      <c r="J5" s="75">
        <f>F5*$F$4</f>
        <v>10</v>
      </c>
      <c r="K5" s="67">
        <f>H5*$F$4</f>
        <v>96000</v>
      </c>
    </row>
    <row r="6" spans="1:17" ht="16">
      <c r="B6" s="56"/>
      <c r="C6" s="56" t="s">
        <v>38</v>
      </c>
      <c r="D6" s="57" t="s">
        <v>39</v>
      </c>
      <c r="E6" s="58" t="s">
        <v>433</v>
      </c>
      <c r="F6" s="59">
        <f>1.1*1/49</f>
        <v>2.2448979591836737E-2</v>
      </c>
      <c r="G6" s="60">
        <f>15490/1.19</f>
        <v>13016.806722689076</v>
      </c>
      <c r="H6" s="61">
        <f t="shared" si="0"/>
        <v>292.214</v>
      </c>
      <c r="J6" s="75">
        <f t="shared" ref="J6:J8" si="1">F6*$F$4</f>
        <v>0.22448979591836737</v>
      </c>
      <c r="K6" s="67">
        <f t="shared" ref="K6:K8" si="2">H6*$F$4</f>
        <v>2922.14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1/6</f>
        <v>0.16666666666666666</v>
      </c>
      <c r="G7" s="60">
        <f>Maestro</f>
        <v>7250</v>
      </c>
      <c r="H7" s="61">
        <f t="shared" si="0"/>
        <v>1208.3330000000001</v>
      </c>
      <c r="J7" s="75">
        <f t="shared" si="1"/>
        <v>1.6666666666666665</v>
      </c>
      <c r="K7" s="67">
        <f t="shared" si="2"/>
        <v>12083.330000000002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SUM(H7:H7)</f>
        <v>1208.3330000000001</v>
      </c>
      <c r="H8" s="61">
        <f>ROUND(F8*G8,3)</f>
        <v>241.667</v>
      </c>
      <c r="J8" s="75">
        <f t="shared" si="1"/>
        <v>2</v>
      </c>
      <c r="K8" s="67">
        <f t="shared" si="2"/>
        <v>2416.67</v>
      </c>
    </row>
    <row r="9" spans="1:17" ht="16">
      <c r="B9" s="62"/>
      <c r="C9" s="62"/>
      <c r="D9" s="63"/>
      <c r="E9" s="64" t="s">
        <v>438</v>
      </c>
      <c r="F9" s="120">
        <f>$F$4</f>
        <v>10</v>
      </c>
      <c r="G9" s="65">
        <f>SUM(H5:H8)</f>
        <v>11342.214</v>
      </c>
      <c r="H9" s="65">
        <f t="shared" ref="H9" si="3">ROUND(F9*G9,3)</f>
        <v>113422.14</v>
      </c>
      <c r="K9" s="76">
        <f>SUM(K5:K8)</f>
        <v>113422.14</v>
      </c>
    </row>
    <row r="11" spans="1:17">
      <c r="C11" s="66"/>
    </row>
  </sheetData>
  <dataValidations count="1">
    <dataValidation type="list" allowBlank="1" showErrorMessage="1" sqref="C9 C4" xr:uid="{80899E9B-8863-49FB-A5AB-4A73B83275CF}">
      <formula1>"Capítulo,Partida,Mano de obra,Maquinaria,Material,Otros,Tarea"</formula1>
    </dataValidation>
  </dataValidations>
  <hyperlinks>
    <hyperlink ref="B1" location="'01.- Presupuesto'!A1" display="02.- Presupuesto'!A1" xr:uid="{AD722D6A-2F12-9244-AB26-CFCACD4A226D}"/>
  </hyperlinks>
  <pageMargins left="0.7" right="0.7" top="0.75" bottom="0.75" header="0.3" footer="0.3"/>
  <pageSetup orientation="portrait" horizontalDpi="0" verticalDpi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4EDF-E964-44B5-8C5E-9DE8CB3C1D79}">
  <sheetPr>
    <tabColor theme="9" tint="0.59999389629810485"/>
  </sheetPr>
  <dimension ref="A1:Q11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167</v>
      </c>
      <c r="C4" s="53" t="s">
        <v>36</v>
      </c>
      <c r="D4" s="148" t="str">
        <f>'01.- Presupuesto'!F80</f>
        <v>un</v>
      </c>
      <c r="E4" s="149" t="str">
        <f>'01.- Presupuesto'!C80</f>
        <v>Suministro e instalación rejilla galvanizada nervada</v>
      </c>
      <c r="F4" s="73">
        <f>'01.- Presupuesto'!G80</f>
        <v>21</v>
      </c>
      <c r="G4" s="55">
        <f>G9</f>
        <v>25620.332999999999</v>
      </c>
      <c r="H4" s="55">
        <f>H9</f>
        <v>538026.99300000002</v>
      </c>
      <c r="J4" s="74" t="s">
        <v>30</v>
      </c>
      <c r="K4" s="74" t="s">
        <v>37</v>
      </c>
      <c r="M4" s="70">
        <f>SUMIF(C5:C21,"Material",K5:K21)</f>
        <v>501690</v>
      </c>
      <c r="N4" s="70">
        <f>SUMIF(C5:C21,"Mano de Obra",K5:K21)</f>
        <v>30280.824000000001</v>
      </c>
      <c r="O4" s="70">
        <f>SUMIF(C5:C21,"Subcontrato",K5:K21)</f>
        <v>0</v>
      </c>
      <c r="P4" s="70">
        <f>SUMIF(C5:C21,"Ser&amp;Arr",K5:K21)</f>
        <v>6056.1689999999999</v>
      </c>
      <c r="Q4" s="71">
        <f>SUM(M4:P4)</f>
        <v>538026.99300000002</v>
      </c>
    </row>
    <row r="5" spans="1:17" ht="16">
      <c r="B5" s="56"/>
      <c r="C5" s="56" t="s">
        <v>38</v>
      </c>
      <c r="D5" s="57" t="s">
        <v>39</v>
      </c>
      <c r="E5" s="58" t="s">
        <v>502</v>
      </c>
      <c r="F5" s="59">
        <v>1</v>
      </c>
      <c r="G5" s="60">
        <v>23890</v>
      </c>
      <c r="H5" s="61">
        <f t="shared" ref="H5:H7" si="0">ROUND(F5*G5,3)</f>
        <v>23890</v>
      </c>
      <c r="J5" s="75">
        <f>F5*$F$4</f>
        <v>21</v>
      </c>
      <c r="K5" s="67">
        <f>H5*$F$4</f>
        <v>501690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1/20</f>
        <v>0.05</v>
      </c>
      <c r="G6" s="60">
        <f>Maestro</f>
        <v>7250</v>
      </c>
      <c r="H6" s="61">
        <f t="shared" si="0"/>
        <v>362.5</v>
      </c>
      <c r="J6" s="75">
        <f t="shared" ref="J6:J8" si="1">F6*$F$4</f>
        <v>1.05</v>
      </c>
      <c r="K6" s="67">
        <f t="shared" ref="K6:K8" si="2">H6*$F$4</f>
        <v>7612.5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4/20</f>
        <v>0.2</v>
      </c>
      <c r="G7" s="60">
        <f>Jornal</f>
        <v>5397.2222222222226</v>
      </c>
      <c r="H7" s="61">
        <f t="shared" si="0"/>
        <v>1079.444</v>
      </c>
      <c r="J7" s="75">
        <f t="shared" si="1"/>
        <v>4.2</v>
      </c>
      <c r="K7" s="67">
        <f t="shared" si="2"/>
        <v>22668.324000000001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1441.944</v>
      </c>
      <c r="H8" s="61">
        <f>ROUND(F8*G8,3)</f>
        <v>288.38900000000001</v>
      </c>
      <c r="J8" s="75">
        <f t="shared" si="1"/>
        <v>4.2</v>
      </c>
      <c r="K8" s="67">
        <f t="shared" si="2"/>
        <v>6056.1689999999999</v>
      </c>
    </row>
    <row r="9" spans="1:17" ht="16">
      <c r="B9" s="62"/>
      <c r="C9" s="62"/>
      <c r="D9" s="63"/>
      <c r="E9" s="64" t="s">
        <v>503</v>
      </c>
      <c r="F9" s="120">
        <f>$F$4</f>
        <v>21</v>
      </c>
      <c r="G9" s="65">
        <f>SUM(H5:H8)</f>
        <v>25620.332999999999</v>
      </c>
      <c r="H9" s="65">
        <f t="shared" ref="H9" si="3">ROUND(F9*G9,3)</f>
        <v>538026.99300000002</v>
      </c>
      <c r="K9" s="76">
        <f>SUM(K5:K8)</f>
        <v>538026.99300000002</v>
      </c>
    </row>
    <row r="11" spans="1:17">
      <c r="C11" s="66"/>
    </row>
  </sheetData>
  <dataValidations disablePrompts="1" count="1">
    <dataValidation type="list" allowBlank="1" showErrorMessage="1" sqref="C9 C4" xr:uid="{5387F8DD-8EE8-4857-A43F-E229B516280F}">
      <formula1>"Capítulo,Partida,Mano de obra,Maquinaria,Material,Otros,Tarea"</formula1>
    </dataValidation>
  </dataValidations>
  <hyperlinks>
    <hyperlink ref="B1" location="'01.- Presupuesto'!A1" display="02.- Presupuesto'!A1" xr:uid="{F86C1A0B-2CAF-9041-AAD8-FC248915B17F}"/>
  </hyperlinks>
  <pageMargins left="0.7" right="0.7" top="0.75" bottom="0.75" header="0.3" footer="0.3"/>
  <pageSetup orientation="portrait" horizontalDpi="0" verticalDpi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345A-0B29-4349-9A42-C352DAAA8957}">
  <sheetPr>
    <tabColor theme="9" tint="0.59999389629810485"/>
  </sheetPr>
  <dimension ref="A1:Q10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168</v>
      </c>
      <c r="C4" s="53" t="s">
        <v>36</v>
      </c>
      <c r="D4" s="148" t="str">
        <f>'01.- Presupuesto'!F81</f>
        <v>kg</v>
      </c>
      <c r="E4" s="149" t="str">
        <f>'01.- Presupuesto'!C81</f>
        <v>Suministro e instalación armadura A630-420H, diámetro 12mm</v>
      </c>
      <c r="F4" s="73">
        <f>'01.- Presupuesto'!G81</f>
        <v>149.916</v>
      </c>
      <c r="G4" s="55">
        <f>G8</f>
        <v>1644.3330000000001</v>
      </c>
      <c r="H4" s="55">
        <f>H8</f>
        <v>246511.826</v>
      </c>
      <c r="J4" s="74" t="s">
        <v>30</v>
      </c>
      <c r="K4" s="74" t="s">
        <v>37</v>
      </c>
      <c r="M4" s="70">
        <f>SUMIF(C5:C20,"Material",K5:K20)</f>
        <v>156562.226028</v>
      </c>
      <c r="N4" s="70">
        <f>SUMIF(C5:C20,"Mano de Obra",K5:K20)</f>
        <v>0</v>
      </c>
      <c r="O4" s="70">
        <f>SUMIF(C5:C20,"Subcontrato",K5:K20)</f>
        <v>89949.599999999991</v>
      </c>
      <c r="P4" s="70">
        <f>SUMIF(C5:C20,"Ser&amp;Arr",K5:K20)</f>
        <v>0</v>
      </c>
      <c r="Q4" s="71">
        <f>SUM(M4:P4)</f>
        <v>246511.82602799998</v>
      </c>
    </row>
    <row r="5" spans="1:17" ht="16">
      <c r="B5" s="56"/>
      <c r="C5" s="56" t="s">
        <v>38</v>
      </c>
      <c r="D5" s="57" t="s">
        <v>396</v>
      </c>
      <c r="E5" s="58" t="s">
        <v>395</v>
      </c>
      <c r="F5" s="59">
        <v>1.1000000000000001</v>
      </c>
      <c r="G5" s="60">
        <v>900</v>
      </c>
      <c r="H5" s="61">
        <f t="shared" ref="H5:H7" si="0">ROUND(F5*G5,3)</f>
        <v>990</v>
      </c>
      <c r="J5" s="75">
        <f>F5*$F$4</f>
        <v>164.9076</v>
      </c>
      <c r="K5" s="67">
        <f>H5*$F$4</f>
        <v>148416.84</v>
      </c>
    </row>
    <row r="6" spans="1:17" ht="16">
      <c r="B6" s="56"/>
      <c r="C6" s="56" t="s">
        <v>38</v>
      </c>
      <c r="D6" s="57" t="s">
        <v>396</v>
      </c>
      <c r="E6" s="58" t="s">
        <v>397</v>
      </c>
      <c r="F6" s="59">
        <f>1/30</f>
        <v>3.3333333333333333E-2</v>
      </c>
      <c r="G6" s="60">
        <v>1630</v>
      </c>
      <c r="H6" s="61">
        <f t="shared" si="0"/>
        <v>54.332999999999998</v>
      </c>
      <c r="J6" s="75">
        <f t="shared" ref="J6:J7" si="1">F6*$F$4</f>
        <v>4.9971999999999994</v>
      </c>
      <c r="K6" s="67">
        <f t="shared" ref="K6:K7" si="2">H6*$F$4</f>
        <v>8145.3860279999999</v>
      </c>
    </row>
    <row r="7" spans="1:17" ht="16">
      <c r="B7" s="56"/>
      <c r="C7" s="56" t="s">
        <v>94</v>
      </c>
      <c r="D7" s="57" t="s">
        <v>396</v>
      </c>
      <c r="E7" s="58" t="s">
        <v>482</v>
      </c>
      <c r="F7" s="59">
        <v>1</v>
      </c>
      <c r="G7" s="60">
        <f>Enf</f>
        <v>600</v>
      </c>
      <c r="H7" s="61">
        <f t="shared" si="0"/>
        <v>600</v>
      </c>
      <c r="J7" s="75">
        <f t="shared" si="1"/>
        <v>149.916</v>
      </c>
      <c r="K7" s="67">
        <f t="shared" si="2"/>
        <v>89949.599999999991</v>
      </c>
    </row>
    <row r="8" spans="1:17" ht="16">
      <c r="B8" s="62"/>
      <c r="C8" s="62"/>
      <c r="D8" s="63"/>
      <c r="E8" s="64" t="s">
        <v>418</v>
      </c>
      <c r="F8" s="120">
        <f>$F$4</f>
        <v>149.916</v>
      </c>
      <c r="G8" s="65">
        <f>SUM(H5:H7)</f>
        <v>1644.3330000000001</v>
      </c>
      <c r="H8" s="65">
        <f t="shared" ref="H8" si="3">ROUND(F8*G8,3)</f>
        <v>246511.826</v>
      </c>
      <c r="K8" s="76">
        <f>SUM(K5:K7)</f>
        <v>246511.82602799998</v>
      </c>
    </row>
    <row r="10" spans="1:17">
      <c r="C10" s="66"/>
    </row>
  </sheetData>
  <dataValidations disablePrompts="1" count="1">
    <dataValidation type="list" allowBlank="1" showErrorMessage="1" sqref="C8 C4" xr:uid="{8E37E412-618F-4165-AECE-FAD43376091C}">
      <formula1>"Capítulo,Partida,Mano de obra,Maquinaria,Material,Otros,Tarea"</formula1>
    </dataValidation>
  </dataValidations>
  <hyperlinks>
    <hyperlink ref="B1" location="'01.- Presupuesto'!A1" display="02.- Presupuesto'!A1" xr:uid="{CB20107E-B497-0143-AD48-9A4CB7524FE1}"/>
  </hyperlinks>
  <pageMargins left="0.7" right="0.7" top="0.75" bottom="0.75" header="0.3" footer="0.3"/>
  <pageSetup orientation="portrait" horizontalDpi="0" verticalDpi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0DDC-D02B-47AF-8690-9796AA4774BC}">
  <sheetPr>
    <tabColor theme="9" tint="0.59999389629810485"/>
  </sheetPr>
  <dimension ref="A1:Q23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172</v>
      </c>
      <c r="C4" s="53" t="s">
        <v>36</v>
      </c>
      <c r="D4" s="148" t="str">
        <f>'01.- Presupuesto'!F83</f>
        <v>un</v>
      </c>
      <c r="E4" s="149" t="str">
        <f>'01.- Presupuesto'!C83</f>
        <v>Suministro e Instalación Cámara separadora de hidrocarburos de 230 litros Infraplast</v>
      </c>
      <c r="F4" s="73">
        <f>'01.- Presupuesto'!G83</f>
        <v>1</v>
      </c>
      <c r="G4" s="55">
        <f>G21</f>
        <v>2168971.6880000001</v>
      </c>
      <c r="H4" s="55">
        <f>H21</f>
        <v>2168971.6880000001</v>
      </c>
      <c r="J4" s="74" t="s">
        <v>30</v>
      </c>
      <c r="K4" s="74" t="s">
        <v>37</v>
      </c>
      <c r="M4" s="70">
        <f>SUMIF(C5:C24,"Material",K5:K24)</f>
        <v>1754158.5860000001</v>
      </c>
      <c r="N4" s="70">
        <f>SUMIF(C5:C24,"Mano de Obra",K5:K24)</f>
        <v>310300</v>
      </c>
      <c r="O4" s="70">
        <f>SUMIF(C5:C24,"Subcontrato",K5:K24)</f>
        <v>27453.101999999999</v>
      </c>
      <c r="P4" s="70">
        <f>SUMIF(C5:C24,"Ser&amp;Arr",K5:K24)</f>
        <v>77060</v>
      </c>
      <c r="Q4" s="71">
        <f>SUM(M4:P4)</f>
        <v>2168971.6880000001</v>
      </c>
    </row>
    <row r="5" spans="1:17" ht="16">
      <c r="B5" s="56"/>
      <c r="C5" s="56" t="s">
        <v>38</v>
      </c>
      <c r="D5" s="57" t="s">
        <v>67</v>
      </c>
      <c r="E5" s="58" t="s">
        <v>382</v>
      </c>
      <c r="F5" s="59">
        <f>((4*1.2*1.8)+(1.8*1.8)+(2*1.4*1.2)*0.2)</f>
        <v>12.552000000000001</v>
      </c>
      <c r="G5" s="60">
        <f>HormG20</f>
        <v>108376.92</v>
      </c>
      <c r="H5" s="61">
        <f t="shared" ref="H5:H6" si="0">ROUND(F5*G5,3)</f>
        <v>1360347.1</v>
      </c>
      <c r="J5" s="75">
        <f>F5*$F$4</f>
        <v>12.552000000000001</v>
      </c>
      <c r="K5" s="67">
        <f>H5*$F$4</f>
        <v>1360347.1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v>0</v>
      </c>
      <c r="G6" s="60">
        <v>12000</v>
      </c>
      <c r="H6" s="61">
        <f t="shared" si="0"/>
        <v>0</v>
      </c>
      <c r="J6" s="75">
        <f t="shared" ref="J6:J19" si="1">F6*$F$4</f>
        <v>0</v>
      </c>
      <c r="K6" s="67">
        <f t="shared" ref="K6:K19" si="2">H6*$F$4</f>
        <v>0</v>
      </c>
    </row>
    <row r="7" spans="1:17" ht="16">
      <c r="B7" s="56"/>
      <c r="C7" s="56" t="s">
        <v>38</v>
      </c>
      <c r="D7" s="57" t="s">
        <v>396</v>
      </c>
      <c r="E7" s="58" t="s">
        <v>395</v>
      </c>
      <c r="F7" s="59">
        <f>((4*1.2*1.8)+(1.8*1.8)+(2*1.4*1.2))*39.03/(2.6*5)</f>
        <v>45.755169230769233</v>
      </c>
      <c r="G7" s="60">
        <v>900</v>
      </c>
      <c r="H7" s="61">
        <f>ROUND(F7*G7,3)</f>
        <v>41179.652000000002</v>
      </c>
      <c r="J7" s="75">
        <f t="shared" si="1"/>
        <v>45.755169230769233</v>
      </c>
      <c r="K7" s="67">
        <f t="shared" si="2"/>
        <v>41179.652000000002</v>
      </c>
    </row>
    <row r="8" spans="1:17" ht="16">
      <c r="B8" s="56"/>
      <c r="C8" s="56" t="s">
        <v>38</v>
      </c>
      <c r="D8" s="57" t="s">
        <v>396</v>
      </c>
      <c r="E8" s="58" t="s">
        <v>397</v>
      </c>
      <c r="F8" s="59">
        <f>1/30*F7</f>
        <v>1.5251723076923078</v>
      </c>
      <c r="G8" s="60">
        <v>1630</v>
      </c>
      <c r="H8" s="61">
        <f>ROUND(F8*G8,3)</f>
        <v>2486.0309999999999</v>
      </c>
      <c r="J8" s="75">
        <f t="shared" si="1"/>
        <v>1.5251723076923078</v>
      </c>
      <c r="K8" s="67">
        <f t="shared" si="2"/>
        <v>2486.0309999999999</v>
      </c>
    </row>
    <row r="9" spans="1:17" ht="16">
      <c r="B9" s="56"/>
      <c r="C9" s="56" t="s">
        <v>38</v>
      </c>
      <c r="D9" s="57" t="s">
        <v>76</v>
      </c>
      <c r="E9" s="58" t="s">
        <v>476</v>
      </c>
      <c r="F9" s="59">
        <v>1</v>
      </c>
      <c r="G9" s="60">
        <v>130000</v>
      </c>
      <c r="H9" s="61">
        <f>ROUND(F9*G9,3)</f>
        <v>130000</v>
      </c>
      <c r="J9" s="75">
        <f t="shared" si="1"/>
        <v>1</v>
      </c>
      <c r="K9" s="67">
        <f t="shared" si="2"/>
        <v>130000</v>
      </c>
    </row>
    <row r="10" spans="1:17" ht="16">
      <c r="B10" s="56"/>
      <c r="C10" s="56" t="s">
        <v>38</v>
      </c>
      <c r="D10" s="57" t="s">
        <v>39</v>
      </c>
      <c r="E10" s="58" t="s">
        <v>390</v>
      </c>
      <c r="F10" s="59">
        <f>1/0.48*((4*1.2*1.8)+(1.8*1.8)+2*(2*1.4*1.2))</f>
        <v>38.750000000000007</v>
      </c>
      <c r="G10" s="60">
        <v>2400</v>
      </c>
      <c r="H10" s="61">
        <f t="shared" ref="H10:H15" si="3">ROUND(F10*G10,3)</f>
        <v>93000</v>
      </c>
      <c r="J10" s="75">
        <f t="shared" si="1"/>
        <v>38.750000000000007</v>
      </c>
      <c r="K10" s="67">
        <f t="shared" si="2"/>
        <v>93000</v>
      </c>
    </row>
    <row r="11" spans="1:17" ht="16">
      <c r="B11" s="56"/>
      <c r="C11" s="56" t="s">
        <v>38</v>
      </c>
      <c r="D11" s="57" t="s">
        <v>39</v>
      </c>
      <c r="E11" s="58" t="s">
        <v>391</v>
      </c>
      <c r="F11" s="59">
        <f>1.05*1/(1.22*2.44)*((4*1.2*1.8)+(1.8*1.8)+2*(2*1.4*1.2))</f>
        <v>6.5607363611932286</v>
      </c>
      <c r="G11" s="60">
        <v>16966</v>
      </c>
      <c r="H11" s="61">
        <f t="shared" si="3"/>
        <v>111309.45299999999</v>
      </c>
      <c r="J11" s="75">
        <f t="shared" si="1"/>
        <v>6.5607363611932286</v>
      </c>
      <c r="K11" s="67">
        <f t="shared" si="2"/>
        <v>111309.45299999999</v>
      </c>
    </row>
    <row r="12" spans="1:17" ht="16">
      <c r="B12" s="56"/>
      <c r="C12" s="56" t="s">
        <v>38</v>
      </c>
      <c r="D12" s="57" t="s">
        <v>75</v>
      </c>
      <c r="E12" s="58" t="s">
        <v>392</v>
      </c>
      <c r="F12" s="59">
        <f>1/4*((4*1.2*1.8)+(1.8*1.8)+2*(2*1.4*1.2))</f>
        <v>4.6500000000000004</v>
      </c>
      <c r="G12" s="60">
        <v>1184</v>
      </c>
      <c r="H12" s="61">
        <f t="shared" si="3"/>
        <v>5505.6</v>
      </c>
      <c r="J12" s="75">
        <f t="shared" si="1"/>
        <v>4.6500000000000004</v>
      </c>
      <c r="K12" s="67">
        <f t="shared" si="2"/>
        <v>5505.6</v>
      </c>
    </row>
    <row r="13" spans="1:17" ht="16">
      <c r="B13" s="56"/>
      <c r="C13" s="56" t="s">
        <v>38</v>
      </c>
      <c r="D13" s="57" t="s">
        <v>39</v>
      </c>
      <c r="E13" s="58" t="s">
        <v>393</v>
      </c>
      <c r="F13" s="59">
        <f>1/72*((4*1.2*1.8)+(1.8*1.8)+2*(2*1.4*1.2))</f>
        <v>0.25833333333333336</v>
      </c>
      <c r="G13" s="60">
        <v>39990</v>
      </c>
      <c r="H13" s="61">
        <f t="shared" si="3"/>
        <v>10330.75</v>
      </c>
      <c r="J13" s="75">
        <f t="shared" si="1"/>
        <v>0.25833333333333336</v>
      </c>
      <c r="K13" s="67">
        <f t="shared" si="2"/>
        <v>10330.75</v>
      </c>
    </row>
    <row r="14" spans="1:17" ht="16">
      <c r="B14" s="56"/>
      <c r="C14" s="56" t="s">
        <v>40</v>
      </c>
      <c r="D14" s="57" t="s">
        <v>41</v>
      </c>
      <c r="E14" s="58" t="s">
        <v>90</v>
      </c>
      <c r="F14" s="59">
        <v>16</v>
      </c>
      <c r="G14" s="60">
        <f>Maestro</f>
        <v>7250</v>
      </c>
      <c r="H14" s="61">
        <f t="shared" si="3"/>
        <v>116000</v>
      </c>
      <c r="J14" s="75">
        <f t="shared" si="1"/>
        <v>16</v>
      </c>
      <c r="K14" s="67">
        <f t="shared" si="2"/>
        <v>116000</v>
      </c>
    </row>
    <row r="15" spans="1:17" ht="16">
      <c r="B15" s="56"/>
      <c r="C15" s="56" t="s">
        <v>40</v>
      </c>
      <c r="D15" s="57" t="s">
        <v>41</v>
      </c>
      <c r="E15" s="58" t="s">
        <v>68</v>
      </c>
      <c r="F15" s="59">
        <v>36</v>
      </c>
      <c r="G15" s="60">
        <f>Jornal</f>
        <v>5397.2222222222226</v>
      </c>
      <c r="H15" s="61">
        <f t="shared" si="3"/>
        <v>194300</v>
      </c>
      <c r="J15" s="75">
        <f t="shared" si="1"/>
        <v>36</v>
      </c>
      <c r="K15" s="67">
        <f t="shared" si="2"/>
        <v>194300</v>
      </c>
    </row>
    <row r="16" spans="1:17" ht="16">
      <c r="B16" s="56"/>
      <c r="C16" s="56" t="s">
        <v>54</v>
      </c>
      <c r="D16" s="57" t="s">
        <v>42</v>
      </c>
      <c r="E16" s="58" t="s">
        <v>55</v>
      </c>
      <c r="F16" s="59">
        <v>0.2</v>
      </c>
      <c r="G16" s="60">
        <f>SUM(H14:H15)</f>
        <v>310300</v>
      </c>
      <c r="H16" s="61">
        <f>ROUND(F16*G16,3)</f>
        <v>62060</v>
      </c>
      <c r="J16" s="75">
        <f t="shared" si="1"/>
        <v>0.2</v>
      </c>
      <c r="K16" s="67">
        <f t="shared" si="2"/>
        <v>62060</v>
      </c>
    </row>
    <row r="17" spans="2:11" ht="16">
      <c r="B17" s="56"/>
      <c r="C17" s="56" t="s">
        <v>94</v>
      </c>
      <c r="D17" s="57" t="s">
        <v>75</v>
      </c>
      <c r="E17" s="58" t="s">
        <v>482</v>
      </c>
      <c r="F17" s="59">
        <f>F7</f>
        <v>45.755169230769233</v>
      </c>
      <c r="G17" s="60">
        <f>Enf</f>
        <v>600</v>
      </c>
      <c r="H17" s="61">
        <f>ROUND(F17*G17,3)</f>
        <v>27453.101999999999</v>
      </c>
      <c r="J17" s="75">
        <f t="shared" si="1"/>
        <v>45.755169230769233</v>
      </c>
      <c r="K17" s="67">
        <f t="shared" si="2"/>
        <v>27453.101999999999</v>
      </c>
    </row>
    <row r="18" spans="2:11" ht="16">
      <c r="B18" s="56"/>
      <c r="C18" s="56" t="s">
        <v>54</v>
      </c>
      <c r="D18" s="57" t="s">
        <v>71</v>
      </c>
      <c r="E18" s="58" t="s">
        <v>372</v>
      </c>
      <c r="F18" s="59">
        <v>1</v>
      </c>
      <c r="G18" s="60">
        <f>3500+3500</f>
        <v>7000</v>
      </c>
      <c r="H18" s="61">
        <f>ROUND(F18*G18,3)</f>
        <v>7000</v>
      </c>
      <c r="J18" s="75">
        <f t="shared" si="1"/>
        <v>1</v>
      </c>
      <c r="K18" s="67">
        <f t="shared" si="2"/>
        <v>7000</v>
      </c>
    </row>
    <row r="19" spans="2:11" ht="16">
      <c r="B19" s="56"/>
      <c r="C19" s="56" t="s">
        <v>54</v>
      </c>
      <c r="D19" s="57" t="s">
        <v>71</v>
      </c>
      <c r="E19" s="58" t="s">
        <v>373</v>
      </c>
      <c r="F19" s="59">
        <v>1</v>
      </c>
      <c r="G19" s="60">
        <f>3500+3500</f>
        <v>7000</v>
      </c>
      <c r="H19" s="61">
        <f>ROUND(F19*G19,3)</f>
        <v>7000</v>
      </c>
      <c r="J19" s="75">
        <f t="shared" si="1"/>
        <v>1</v>
      </c>
      <c r="K19" s="67">
        <f t="shared" si="2"/>
        <v>7000</v>
      </c>
    </row>
    <row r="20" spans="2:11" ht="16">
      <c r="B20" s="56"/>
      <c r="C20" s="56" t="s">
        <v>54</v>
      </c>
      <c r="D20" s="57" t="s">
        <v>76</v>
      </c>
      <c r="E20" s="58" t="s">
        <v>368</v>
      </c>
      <c r="F20" s="59">
        <f>1/50</f>
        <v>0.02</v>
      </c>
      <c r="G20" s="60">
        <v>50000</v>
      </c>
      <c r="H20" s="61">
        <f>ROUND(F20*G20,3)</f>
        <v>1000</v>
      </c>
      <c r="J20" s="75">
        <f t="shared" ref="J20" si="4">F20*$F$4</f>
        <v>0.02</v>
      </c>
      <c r="K20" s="67">
        <f t="shared" ref="K20" si="5">H20*$F$4</f>
        <v>1000</v>
      </c>
    </row>
    <row r="21" spans="2:11" ht="16">
      <c r="B21" s="62"/>
      <c r="C21" s="62"/>
      <c r="D21" s="63"/>
      <c r="E21" s="64" t="s">
        <v>569</v>
      </c>
      <c r="F21" s="120">
        <f>$F$4</f>
        <v>1</v>
      </c>
      <c r="G21" s="65">
        <f>SUM(H5:H20)</f>
        <v>2168971.6880000001</v>
      </c>
      <c r="H21" s="65">
        <f t="shared" ref="H21" si="6">ROUND(F21*G21,3)</f>
        <v>2168971.6880000001</v>
      </c>
      <c r="K21" s="76">
        <f>SUM(K5:K20)</f>
        <v>2168971.6880000001</v>
      </c>
    </row>
    <row r="23" spans="2:11">
      <c r="C23" s="66"/>
    </row>
  </sheetData>
  <dataValidations count="1">
    <dataValidation type="list" allowBlank="1" showErrorMessage="1" sqref="C21 C4" xr:uid="{1E52F39C-3CD0-4F90-9413-D97F102B5CCB}">
      <formula1>"Capítulo,Partida,Mano de obra,Maquinaria,Material,Otros,Tarea"</formula1>
    </dataValidation>
  </dataValidations>
  <hyperlinks>
    <hyperlink ref="B1" location="'01.- Presupuesto'!A1" display="02.- Presupuesto'!A1" xr:uid="{D67BC6B8-9FF2-3A44-A92C-68AE9033F49A}"/>
  </hyperlinks>
  <pageMargins left="0.7" right="0.7" top="0.75" bottom="0.75" header="0.3" footer="0.3"/>
  <pageSetup orientation="portrait" horizontalDpi="0" verticalDpi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85492-6A67-441E-99C9-196D2428551F}">
  <sheetPr>
    <tabColor theme="9" tint="0.59999389629810485"/>
  </sheetPr>
  <dimension ref="A1:Q9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169</v>
      </c>
      <c r="C4" s="53" t="s">
        <v>36</v>
      </c>
      <c r="D4" s="148" t="str">
        <f>'01.- Presupuesto'!F84</f>
        <v>m</v>
      </c>
      <c r="E4" s="149" t="str">
        <f>'01.- Presupuesto'!C84</f>
        <v>Suministro e instalación ducto PVC hidra Ø=110 mm flexodren</v>
      </c>
      <c r="F4" s="73">
        <f>'01.- Presupuesto'!G84</f>
        <v>3</v>
      </c>
      <c r="G4" s="55">
        <f>G7</f>
        <v>20083.493999999999</v>
      </c>
      <c r="H4" s="55">
        <f>H7</f>
        <v>60250.482000000004</v>
      </c>
      <c r="J4" s="74" t="s">
        <v>30</v>
      </c>
      <c r="K4" s="74" t="s">
        <v>37</v>
      </c>
      <c r="M4" s="70">
        <f>SUMIF(C5:C19,"Material",K5:K19)</f>
        <v>9250.482</v>
      </c>
      <c r="N4" s="70">
        <f>SUMIF(C5:C19,"Mano de Obra",K5:K19)</f>
        <v>0</v>
      </c>
      <c r="O4" s="70">
        <f>SUMIF(C5:C19,"Subcontrato",K5:K19)</f>
        <v>51000</v>
      </c>
      <c r="P4" s="70">
        <f>SUMIF(C5:C19,"Ser&amp;Arr",K5:K19)</f>
        <v>0</v>
      </c>
      <c r="Q4" s="71">
        <f>SUM(M4:P4)</f>
        <v>60250.482000000004</v>
      </c>
    </row>
    <row r="5" spans="1:17" ht="16">
      <c r="B5" s="56"/>
      <c r="C5" s="56" t="s">
        <v>38</v>
      </c>
      <c r="D5" s="57" t="s">
        <v>39</v>
      </c>
      <c r="E5" s="58" t="s">
        <v>544</v>
      </c>
      <c r="F5" s="59">
        <f>1.1*1/50</f>
        <v>2.2000000000000002E-2</v>
      </c>
      <c r="G5" s="60">
        <f>166789/1.19</f>
        <v>140158.82352941178</v>
      </c>
      <c r="H5" s="61">
        <f t="shared" ref="H5:H6" si="0">ROUND(F5*G5,3)</f>
        <v>3083.4940000000001</v>
      </c>
      <c r="J5" s="75">
        <f>F5*$F$4</f>
        <v>6.6000000000000003E-2</v>
      </c>
      <c r="K5" s="67">
        <f>H5*$F$4</f>
        <v>9250.482</v>
      </c>
    </row>
    <row r="6" spans="1:17" ht="16">
      <c r="B6" s="56"/>
      <c r="C6" s="56" t="s">
        <v>94</v>
      </c>
      <c r="D6" s="57" t="s">
        <v>65</v>
      </c>
      <c r="E6" s="58" t="s">
        <v>538</v>
      </c>
      <c r="F6" s="59">
        <v>1</v>
      </c>
      <c r="G6" s="60">
        <f>SCSan</f>
        <v>17000</v>
      </c>
      <c r="H6" s="61">
        <f t="shared" si="0"/>
        <v>17000</v>
      </c>
      <c r="J6" s="75">
        <f t="shared" ref="J6" si="1">F6*$F$4</f>
        <v>3</v>
      </c>
      <c r="K6" s="67">
        <f t="shared" ref="K6" si="2">H6*$F$4</f>
        <v>51000</v>
      </c>
    </row>
    <row r="7" spans="1:17" ht="16">
      <c r="B7" s="62"/>
      <c r="C7" s="62"/>
      <c r="D7" s="63"/>
      <c r="E7" s="64" t="s">
        <v>543</v>
      </c>
      <c r="F7" s="120">
        <f>$F$4</f>
        <v>3</v>
      </c>
      <c r="G7" s="65">
        <f>SUM(H5:H6)</f>
        <v>20083.493999999999</v>
      </c>
      <c r="H7" s="65">
        <f t="shared" ref="H7" si="3">ROUND(F7*G7,3)</f>
        <v>60250.482000000004</v>
      </c>
      <c r="K7" s="76">
        <f>SUM(K5:K6)</f>
        <v>60250.482000000004</v>
      </c>
    </row>
    <row r="9" spans="1:17">
      <c r="C9" s="66"/>
    </row>
  </sheetData>
  <dataValidations count="1">
    <dataValidation type="list" allowBlank="1" showErrorMessage="1" sqref="C7 C4" xr:uid="{4D208023-2A29-46AD-A726-42D9C566C302}">
      <formula1>"Capítulo,Partida,Mano de obra,Maquinaria,Material,Otros,Tarea"</formula1>
    </dataValidation>
  </dataValidations>
  <hyperlinks>
    <hyperlink ref="B1" location="'01.- Presupuesto'!A1" display="02.- Presupuesto'!A1" xr:uid="{C52EA40D-423A-FF44-A297-A2781D93097A}"/>
  </hyperlinks>
  <pageMargins left="0.7" right="0.7" top="0.75" bottom="0.75" header="0.3" footer="0.3"/>
  <pageSetup orientation="portrait" horizontalDpi="0" verticalDpi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9AB1-0DC2-4DE7-9E18-1F6B08CF6E08}">
  <sheetPr>
    <tabColor theme="9" tint="0.59999389629810485"/>
  </sheetPr>
  <dimension ref="A1:Q13"/>
  <sheetViews>
    <sheetView showGridLines="0" zoomScaleNormal="100" workbookViewId="0">
      <selection activeCell="E36" sqref="E36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170</v>
      </c>
      <c r="C4" s="53" t="s">
        <v>36</v>
      </c>
      <c r="D4" s="148" t="str">
        <f>'01.- Presupuesto'!F85</f>
        <v>m3</v>
      </c>
      <c r="E4" s="149" t="str">
        <f>'01.- Presupuesto'!C85</f>
        <v>Suministro e instalación arena compactada</v>
      </c>
      <c r="F4" s="73">
        <f>'01.- Presupuesto'!G85</f>
        <v>1.8</v>
      </c>
      <c r="G4" s="55">
        <f>G11</f>
        <v>34686.582999999999</v>
      </c>
      <c r="H4" s="55">
        <f>H11</f>
        <v>62435.849000000002</v>
      </c>
      <c r="J4" s="74" t="s">
        <v>30</v>
      </c>
      <c r="K4" s="74" t="s">
        <v>37</v>
      </c>
      <c r="M4" s="70">
        <f>SUMIF(C5:C23,"Material",K5:K23)</f>
        <v>56160</v>
      </c>
      <c r="N4" s="70">
        <f>SUMIF(C5:C23,"Mano de Obra",K5:K23)</f>
        <v>2595.4992000000002</v>
      </c>
      <c r="O4" s="70">
        <f>SUMIF(C5:C23,"Subcontrato",K5:K23)</f>
        <v>0</v>
      </c>
      <c r="P4" s="70">
        <f>SUMIF(C5:C23,"Ser&amp;Arr",K5:K23)</f>
        <v>3680.3501999999999</v>
      </c>
      <c r="Q4" s="71">
        <f>SUM(M4:P4)</f>
        <v>62435.849399999999</v>
      </c>
    </row>
    <row r="5" spans="1:17" ht="16">
      <c r="B5" s="56"/>
      <c r="C5" s="56" t="s">
        <v>38</v>
      </c>
      <c r="D5" s="57" t="s">
        <v>67</v>
      </c>
      <c r="E5" s="58" t="s">
        <v>453</v>
      </c>
      <c r="F5" s="59">
        <v>1.3</v>
      </c>
      <c r="G5" s="60">
        <f>Arena</f>
        <v>24000</v>
      </c>
      <c r="H5" s="61">
        <f t="shared" ref="H5:H10" si="0">ROUND(F5*G5,3)</f>
        <v>31200</v>
      </c>
      <c r="J5" s="75">
        <f>F5*$F$4</f>
        <v>2.3400000000000003</v>
      </c>
      <c r="K5" s="67">
        <f>H5*$F$4</f>
        <v>56160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1/20</f>
        <v>0.05</v>
      </c>
      <c r="G6" s="60">
        <f>Maestro</f>
        <v>7250</v>
      </c>
      <c r="H6" s="61">
        <f t="shared" si="0"/>
        <v>362.5</v>
      </c>
      <c r="J6" s="75">
        <f t="shared" ref="J6:J10" si="1">F6*$F$4</f>
        <v>9.0000000000000011E-2</v>
      </c>
      <c r="K6" s="67">
        <f t="shared" ref="K6:K10" si="2">H6*$F$4</f>
        <v>652.5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4*1/20</f>
        <v>0.2</v>
      </c>
      <c r="G7" s="60">
        <f>Jornal</f>
        <v>5397.2222222222226</v>
      </c>
      <c r="H7" s="61">
        <f t="shared" si="0"/>
        <v>1079.444</v>
      </c>
      <c r="J7" s="75">
        <f t="shared" ref="J7" si="3">F7*$F$4</f>
        <v>0.36000000000000004</v>
      </c>
      <c r="K7" s="67">
        <f t="shared" ref="K7" si="4">H7*$F$4</f>
        <v>1942.9992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1441.944</v>
      </c>
      <c r="H8" s="61">
        <f>ROUND(F8*G8,3)</f>
        <v>288.38900000000001</v>
      </c>
      <c r="J8" s="75">
        <f t="shared" si="1"/>
        <v>0.36000000000000004</v>
      </c>
      <c r="K8" s="67">
        <f t="shared" si="2"/>
        <v>519.10020000000009</v>
      </c>
    </row>
    <row r="9" spans="1:17" ht="16">
      <c r="B9" s="56"/>
      <c r="C9" s="56" t="s">
        <v>54</v>
      </c>
      <c r="D9" s="57" t="s">
        <v>348</v>
      </c>
      <c r="E9" s="58" t="s">
        <v>350</v>
      </c>
      <c r="F9" s="59">
        <f>1/20</f>
        <v>0.05</v>
      </c>
      <c r="G9" s="60">
        <f>Retroexcavadora</f>
        <v>32000</v>
      </c>
      <c r="H9" s="61">
        <f t="shared" si="0"/>
        <v>1600</v>
      </c>
      <c r="J9" s="75">
        <f t="shared" si="1"/>
        <v>9.0000000000000011E-2</v>
      </c>
      <c r="K9" s="67">
        <f t="shared" si="2"/>
        <v>2880</v>
      </c>
    </row>
    <row r="10" spans="1:17" ht="16">
      <c r="B10" s="56"/>
      <c r="C10" s="56" t="s">
        <v>54</v>
      </c>
      <c r="D10" s="57" t="s">
        <v>71</v>
      </c>
      <c r="E10" s="58" t="s">
        <v>385</v>
      </c>
      <c r="F10" s="59">
        <f>1/20/8</f>
        <v>6.2500000000000003E-3</v>
      </c>
      <c r="G10" s="60">
        <v>25000</v>
      </c>
      <c r="H10" s="61">
        <f t="shared" si="0"/>
        <v>156.25</v>
      </c>
      <c r="J10" s="75">
        <f t="shared" si="1"/>
        <v>1.1250000000000001E-2</v>
      </c>
      <c r="K10" s="67">
        <f t="shared" si="2"/>
        <v>281.25</v>
      </c>
    </row>
    <row r="11" spans="1:17" ht="16">
      <c r="B11" s="62"/>
      <c r="C11" s="62"/>
      <c r="D11" s="63"/>
      <c r="E11" s="64" t="s">
        <v>452</v>
      </c>
      <c r="F11" s="120">
        <f>$F$4</f>
        <v>1.8</v>
      </c>
      <c r="G11" s="65">
        <f>SUM(H5:H10)</f>
        <v>34686.582999999999</v>
      </c>
      <c r="H11" s="65">
        <f t="shared" ref="H11" si="5">ROUND(F11*G11,3)</f>
        <v>62435.849000000002</v>
      </c>
      <c r="K11" s="76">
        <f>SUM(K5:K10)</f>
        <v>62435.849399999999</v>
      </c>
    </row>
    <row r="13" spans="1:17">
      <c r="C13" s="66"/>
    </row>
  </sheetData>
  <dataValidations count="1">
    <dataValidation type="list" allowBlank="1" showErrorMessage="1" sqref="C11 C4" xr:uid="{246596C6-E2BF-437B-91F5-AA34A392AE0C}">
      <formula1>"Capítulo,Partida,Mano de obra,Maquinaria,Material,Otros,Tarea"</formula1>
    </dataValidation>
  </dataValidations>
  <hyperlinks>
    <hyperlink ref="B1" location="'01.- Presupuesto'!A1" display="02.- Presupuesto'!A1" xr:uid="{041CD652-D539-4E48-A74C-7BC85313689E}"/>
  </hyperlinks>
  <pageMargins left="0.7" right="0.7" top="0.75" bottom="0.75" header="0.3" footer="0.3"/>
  <pageSetup orientation="portrait" horizontalDpi="0" verticalDpi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BCD2-CCA3-4DEC-8CA0-30E7BCF3AB19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171</v>
      </c>
      <c r="C4" s="53" t="s">
        <v>36</v>
      </c>
      <c r="D4" s="148" t="str">
        <f>'01.- Presupuesto'!F86</f>
        <v>m3</v>
      </c>
      <c r="E4" s="149" t="str">
        <f>'01.- Presupuesto'!C86</f>
        <v>Excavación, carguío sobre camión y traslado a botadero</v>
      </c>
      <c r="F4" s="73">
        <f>'01.- Presupuesto'!G86</f>
        <v>3.2</v>
      </c>
      <c r="G4" s="55">
        <f>G9</f>
        <v>25500</v>
      </c>
      <c r="H4" s="55">
        <f>H9</f>
        <v>81600</v>
      </c>
      <c r="J4" s="74" t="s">
        <v>30</v>
      </c>
      <c r="K4" s="74" t="s">
        <v>37</v>
      </c>
      <c r="M4" s="70">
        <f>SUMIF(C5:C21,"Material",K5:K21)</f>
        <v>0</v>
      </c>
      <c r="N4" s="70">
        <f>SUMIF(C5:C21,"Mano de Obra",K5:K21)</f>
        <v>0</v>
      </c>
      <c r="O4" s="70">
        <f>SUMIF(C5:C21,"Subcontrato",K5:K21)</f>
        <v>0</v>
      </c>
      <c r="P4" s="70">
        <f>SUMIF(C5:C21,"Ser&amp;Arr",K5:K21)</f>
        <v>81600</v>
      </c>
      <c r="Q4" s="71">
        <f>SUM(M4:P4)</f>
        <v>81600</v>
      </c>
    </row>
    <row r="5" spans="1:17" ht="16">
      <c r="B5" s="56"/>
      <c r="C5" s="56" t="s">
        <v>54</v>
      </c>
      <c r="D5" s="57" t="s">
        <v>348</v>
      </c>
      <c r="E5" s="58" t="s">
        <v>353</v>
      </c>
      <c r="F5" s="59">
        <f>1/20</f>
        <v>0.05</v>
      </c>
      <c r="G5" s="60">
        <f>Excavadora</f>
        <v>50000</v>
      </c>
      <c r="H5" s="61">
        <f t="shared" ref="H5:H8" si="0">ROUND(F5*G5,3)</f>
        <v>2500</v>
      </c>
      <c r="J5" s="75">
        <f>F5*$F$4</f>
        <v>0.16000000000000003</v>
      </c>
      <c r="K5" s="67">
        <f>H5*$F$4</f>
        <v>8000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8" si="1">F6*$F$4</f>
        <v>0.16000000000000003</v>
      </c>
      <c r="K6" s="67">
        <f t="shared" ref="K6:K8" si="2">H6*$F$4</f>
        <v>5120</v>
      </c>
    </row>
    <row r="7" spans="1:17" ht="16">
      <c r="B7" s="56"/>
      <c r="C7" s="56" t="s">
        <v>54</v>
      </c>
      <c r="D7" s="57" t="s">
        <v>348</v>
      </c>
      <c r="E7" s="58" t="s">
        <v>349</v>
      </c>
      <c r="F7" s="59">
        <f>1/20</f>
        <v>0.05</v>
      </c>
      <c r="G7" s="60">
        <f>Tolva</f>
        <v>38000</v>
      </c>
      <c r="H7" s="61">
        <f t="shared" si="0"/>
        <v>1900</v>
      </c>
      <c r="J7" s="75">
        <f t="shared" si="1"/>
        <v>0.16000000000000003</v>
      </c>
      <c r="K7" s="67">
        <f t="shared" si="2"/>
        <v>6080</v>
      </c>
    </row>
    <row r="8" spans="1:17" ht="16">
      <c r="B8" s="56"/>
      <c r="C8" s="56" t="s">
        <v>54</v>
      </c>
      <c r="D8" s="57" t="s">
        <v>67</v>
      </c>
      <c r="E8" s="58" t="s">
        <v>70</v>
      </c>
      <c r="F8" s="59">
        <v>1.3</v>
      </c>
      <c r="G8" s="60">
        <v>15000</v>
      </c>
      <c r="H8" s="61">
        <f t="shared" si="0"/>
        <v>19500</v>
      </c>
      <c r="J8" s="75">
        <f t="shared" si="1"/>
        <v>4.16</v>
      </c>
      <c r="K8" s="67">
        <f t="shared" si="2"/>
        <v>62400</v>
      </c>
    </row>
    <row r="9" spans="1:17" ht="16">
      <c r="B9" s="62"/>
      <c r="C9" s="62"/>
      <c r="D9" s="63"/>
      <c r="E9" s="64" t="s">
        <v>504</v>
      </c>
      <c r="F9" s="120">
        <f>$F$4</f>
        <v>3.2</v>
      </c>
      <c r="G9" s="65">
        <f>SUM(H5:H8)</f>
        <v>25500</v>
      </c>
      <c r="H9" s="65">
        <f t="shared" ref="H9" si="3">ROUND(F9*G9,3)</f>
        <v>81600</v>
      </c>
      <c r="K9" s="76">
        <f>SUM(K5:K8)</f>
        <v>81600</v>
      </c>
    </row>
    <row r="11" spans="1:17">
      <c r="C11" s="66"/>
    </row>
  </sheetData>
  <dataValidations count="1">
    <dataValidation type="list" allowBlank="1" showErrorMessage="1" sqref="C9 C4" xr:uid="{73429248-A0CB-40B1-BBC6-C2FB9958BE0D}">
      <formula1>"Capítulo,Partida,Mano de obra,Maquinaria,Material,Otros,Tarea"</formula1>
    </dataValidation>
  </dataValidations>
  <hyperlinks>
    <hyperlink ref="B1" location="'01.- Presupuesto'!A1" display="02.- Presupuesto'!A1" xr:uid="{2C3134A0-6A33-CA45-89AC-5908B3CD7ECA}"/>
  </hyperlinks>
  <pageMargins left="0.7" right="0.7" top="0.75" bottom="0.75" header="0.3" footer="0.3"/>
  <pageSetup orientation="portrait" horizontalDpi="0" verticalDpi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2030-A65B-4CEC-BB5F-67354DB59F50}">
  <sheetPr>
    <tabColor theme="9" tint="0.59999389629810485"/>
  </sheetPr>
  <dimension ref="A1:Q18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178</v>
      </c>
      <c r="C4" s="53" t="s">
        <v>36</v>
      </c>
      <c r="D4" s="148" t="str">
        <f>'01.- Presupuesto'!F88</f>
        <v>m3</v>
      </c>
      <c r="E4" s="149" t="str">
        <f>'01.- Presupuesto'!C88</f>
        <v>Suministro e Instalación Hormigón G15, con aditivo impermeabilizante, igol denso.</v>
      </c>
      <c r="F4" s="73">
        <f>'01.- Presupuesto'!G88</f>
        <v>1.2</v>
      </c>
      <c r="G4" s="55">
        <f>G16</f>
        <v>222362.554</v>
      </c>
      <c r="H4" s="55">
        <f>H16</f>
        <v>266835.065</v>
      </c>
      <c r="J4" s="74" t="s">
        <v>30</v>
      </c>
      <c r="K4" s="74" t="s">
        <v>37</v>
      </c>
      <c r="M4" s="70">
        <f>SUMIF(C5:C28,"Material",K5:K28)</f>
        <v>188192.3988</v>
      </c>
      <c r="N4" s="70">
        <f>SUMIF(C5:C28,"Mano de Obra",K5:K28)</f>
        <v>59868.889199999998</v>
      </c>
      <c r="O4" s="70">
        <f>SUMIF(C5:C28,"Subcontrato",K5:K28)</f>
        <v>0</v>
      </c>
      <c r="P4" s="70">
        <f>SUMIF(C5:C28,"Ser&amp;Arr",K5:K28)</f>
        <v>18773.7768</v>
      </c>
      <c r="Q4" s="71">
        <f>SUM(M4:P4)</f>
        <v>266835.06479999999</v>
      </c>
    </row>
    <row r="5" spans="1:17" ht="16">
      <c r="B5" s="56"/>
      <c r="C5" s="56" t="s">
        <v>38</v>
      </c>
      <c r="D5" s="57" t="s">
        <v>67</v>
      </c>
      <c r="E5" s="58" t="s">
        <v>441</v>
      </c>
      <c r="F5" s="59">
        <v>1.1000000000000001</v>
      </c>
      <c r="G5" s="60">
        <f>HormG15</f>
        <v>104842.89</v>
      </c>
      <c r="H5" s="61">
        <f t="shared" ref="H5:H10" si="0">ROUND(F5*G5,3)</f>
        <v>115327.179</v>
      </c>
      <c r="J5" s="75">
        <f>F5*$F$4</f>
        <v>1.32</v>
      </c>
      <c r="K5" s="67">
        <f>H5*$F$4</f>
        <v>138392.61480000001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13" si="1">F6*$F$4</f>
        <v>0.12</v>
      </c>
      <c r="K6" s="67">
        <f t="shared" ref="K6:K13" si="2">H6*$F$4</f>
        <v>1440</v>
      </c>
    </row>
    <row r="7" spans="1:17" ht="16">
      <c r="B7" s="56"/>
      <c r="C7" s="56" t="s">
        <v>38</v>
      </c>
      <c r="D7" s="57" t="s">
        <v>67</v>
      </c>
      <c r="E7" s="58" t="s">
        <v>442</v>
      </c>
      <c r="F7" s="59">
        <v>1.1000000000000001</v>
      </c>
      <c r="G7" s="60">
        <f>0.07*UF</f>
        <v>2748.69</v>
      </c>
      <c r="H7" s="61">
        <f t="shared" si="0"/>
        <v>3023.5590000000002</v>
      </c>
      <c r="J7" s="75">
        <f t="shared" ref="J7:J9" si="3">F7*$F$4</f>
        <v>1.32</v>
      </c>
      <c r="K7" s="67">
        <f t="shared" ref="K7:K9" si="4">H7*$F$4</f>
        <v>3628.2708000000002</v>
      </c>
    </row>
    <row r="8" spans="1:17" ht="16">
      <c r="B8" s="56"/>
      <c r="C8" s="56" t="s">
        <v>38</v>
      </c>
      <c r="D8" s="57" t="s">
        <v>76</v>
      </c>
      <c r="E8" s="58" t="s">
        <v>443</v>
      </c>
      <c r="F8" s="59">
        <f>10*2*0.3/16</f>
        <v>0.375</v>
      </c>
      <c r="G8" s="60">
        <f>118290/1.19</f>
        <v>99403.361344537814</v>
      </c>
      <c r="H8" s="61">
        <f t="shared" si="0"/>
        <v>37276.260999999999</v>
      </c>
      <c r="J8" s="75">
        <f t="shared" si="3"/>
        <v>0.44999999999999996</v>
      </c>
      <c r="K8" s="67">
        <f t="shared" si="4"/>
        <v>44731.513199999994</v>
      </c>
    </row>
    <row r="9" spans="1:17" ht="16">
      <c r="B9" s="56"/>
      <c r="C9" s="56" t="s">
        <v>40</v>
      </c>
      <c r="D9" s="57" t="s">
        <v>41</v>
      </c>
      <c r="E9" s="58" t="s">
        <v>90</v>
      </c>
      <c r="F9" s="59">
        <f>1/3</f>
        <v>0.33333333333333331</v>
      </c>
      <c r="G9" s="60">
        <f>Maestro</f>
        <v>7250</v>
      </c>
      <c r="H9" s="61">
        <f t="shared" si="0"/>
        <v>2416.6669999999999</v>
      </c>
      <c r="J9" s="75">
        <f t="shared" si="3"/>
        <v>0.39999999999999997</v>
      </c>
      <c r="K9" s="67">
        <f t="shared" si="4"/>
        <v>2900.0003999999999</v>
      </c>
    </row>
    <row r="10" spans="1:17" ht="16">
      <c r="B10" s="56"/>
      <c r="C10" s="56" t="s">
        <v>40</v>
      </c>
      <c r="D10" s="57" t="s">
        <v>41</v>
      </c>
      <c r="E10" s="58" t="s">
        <v>68</v>
      </c>
      <c r="F10" s="59">
        <f>4*(1/3)</f>
        <v>1.3333333333333333</v>
      </c>
      <c r="G10" s="60">
        <f>Jornal</f>
        <v>5397.2222222222226</v>
      </c>
      <c r="H10" s="61">
        <f t="shared" si="0"/>
        <v>7196.2960000000003</v>
      </c>
      <c r="J10" s="75">
        <f t="shared" si="1"/>
        <v>1.5999999999999999</v>
      </c>
      <c r="K10" s="67">
        <f t="shared" si="2"/>
        <v>8635.5552000000007</v>
      </c>
    </row>
    <row r="11" spans="1:17" ht="16">
      <c r="B11" s="56"/>
      <c r="C11" s="56" t="s">
        <v>40</v>
      </c>
      <c r="D11" s="57" t="s">
        <v>41</v>
      </c>
      <c r="E11" s="58" t="s">
        <v>93</v>
      </c>
      <c r="F11" s="59">
        <f>10/2</f>
        <v>5</v>
      </c>
      <c r="G11" s="60">
        <f>Pintor</f>
        <v>8055.5555555555557</v>
      </c>
      <c r="H11" s="61">
        <f>ROUND(F11*G11,3)</f>
        <v>40277.777999999998</v>
      </c>
      <c r="J11" s="75">
        <f t="shared" si="1"/>
        <v>6</v>
      </c>
      <c r="K11" s="67">
        <f t="shared" si="2"/>
        <v>48333.333599999998</v>
      </c>
    </row>
    <row r="12" spans="1:17" ht="16">
      <c r="B12" s="56"/>
      <c r="C12" s="56" t="s">
        <v>54</v>
      </c>
      <c r="D12" s="57" t="s">
        <v>42</v>
      </c>
      <c r="E12" s="58" t="s">
        <v>55</v>
      </c>
      <c r="F12" s="59">
        <v>0.2</v>
      </c>
      <c r="G12" s="60">
        <f>SUM(H9:H11)</f>
        <v>49890.740999999995</v>
      </c>
      <c r="H12" s="61">
        <f>ROUND(F12*G12,3)</f>
        <v>9978.1479999999992</v>
      </c>
      <c r="J12" s="75">
        <f t="shared" si="1"/>
        <v>0.24</v>
      </c>
      <c r="K12" s="67">
        <f t="shared" si="2"/>
        <v>11973.777599999999</v>
      </c>
    </row>
    <row r="13" spans="1:17" ht="16">
      <c r="B13" s="56"/>
      <c r="C13" s="56" t="s">
        <v>54</v>
      </c>
      <c r="D13" s="57" t="s">
        <v>71</v>
      </c>
      <c r="E13" s="58" t="s">
        <v>372</v>
      </c>
      <c r="F13" s="59">
        <f>1/3</f>
        <v>0.33333333333333331</v>
      </c>
      <c r="G13" s="60">
        <f>3500+3500</f>
        <v>7000</v>
      </c>
      <c r="H13" s="61">
        <f>ROUND(F13*G13,3)</f>
        <v>2333.3330000000001</v>
      </c>
      <c r="J13" s="75">
        <f t="shared" si="1"/>
        <v>0.39999999999999997</v>
      </c>
      <c r="K13" s="67">
        <f t="shared" si="2"/>
        <v>2799.9996000000001</v>
      </c>
    </row>
    <row r="14" spans="1:17" ht="16">
      <c r="B14" s="56"/>
      <c r="C14" s="56" t="s">
        <v>54</v>
      </c>
      <c r="D14" s="57" t="s">
        <v>71</v>
      </c>
      <c r="E14" s="58" t="s">
        <v>373</v>
      </c>
      <c r="F14" s="59">
        <f>1/3</f>
        <v>0.33333333333333331</v>
      </c>
      <c r="G14" s="60">
        <f>3500+3500</f>
        <v>7000</v>
      </c>
      <c r="H14" s="61">
        <f>ROUND(F14*G14,3)</f>
        <v>2333.3330000000001</v>
      </c>
      <c r="J14" s="75">
        <f>F14*$F$4</f>
        <v>0.39999999999999997</v>
      </c>
      <c r="K14" s="67">
        <f>H14*$F$4</f>
        <v>2799.9996000000001</v>
      </c>
    </row>
    <row r="15" spans="1:17" ht="16">
      <c r="B15" s="56"/>
      <c r="C15" s="56" t="s">
        <v>54</v>
      </c>
      <c r="D15" s="57" t="s">
        <v>76</v>
      </c>
      <c r="E15" s="58" t="s">
        <v>368</v>
      </c>
      <c r="F15" s="59">
        <f>1/50</f>
        <v>0.02</v>
      </c>
      <c r="G15" s="60">
        <v>50000</v>
      </c>
      <c r="H15" s="61">
        <f>ROUND(F15*G15,3)</f>
        <v>1000</v>
      </c>
      <c r="J15" s="75">
        <f>F15*$F$4</f>
        <v>2.4E-2</v>
      </c>
      <c r="K15" s="67">
        <f>H15*$F$4</f>
        <v>1200</v>
      </c>
    </row>
    <row r="16" spans="1:17" ht="16">
      <c r="B16" s="62"/>
      <c r="C16" s="62"/>
      <c r="D16" s="63"/>
      <c r="E16" s="64" t="s">
        <v>446</v>
      </c>
      <c r="F16" s="120">
        <f>$F$4</f>
        <v>1.2</v>
      </c>
      <c r="G16" s="65">
        <f>SUM(H5:H15)</f>
        <v>222362.554</v>
      </c>
      <c r="H16" s="65">
        <f t="shared" ref="H16" si="5">ROUND(F16*G16,3)</f>
        <v>266835.065</v>
      </c>
      <c r="K16" s="76">
        <f>SUM(K5:K15)</f>
        <v>266835.06479999999</v>
      </c>
    </row>
    <row r="18" spans="3:3">
      <c r="C18" s="66"/>
    </row>
  </sheetData>
  <dataValidations count="1">
    <dataValidation type="list" allowBlank="1" showErrorMessage="1" sqref="C16 C4" xr:uid="{2C62CC88-9D33-479B-A23B-8288D26F5155}">
      <formula1>"Capítulo,Partida,Mano de obra,Maquinaria,Material,Otros,Tarea"</formula1>
    </dataValidation>
  </dataValidations>
  <hyperlinks>
    <hyperlink ref="B1" location="'01.- Presupuesto'!A1" display="02.- Presupuesto'!A1" xr:uid="{4DE0D0E9-262E-3A44-8894-030284102D2E}"/>
  </hyperlinks>
  <pageMargins left="0.7" right="0.7" top="0.75" bottom="0.75" header="0.3" footer="0.3"/>
  <pageSetup orientation="portrait" horizontalDpi="0" verticalDpi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4AAC-66E7-4B46-B6FF-8D81C2AB8E64}">
  <sheetPr>
    <tabColor theme="9" tint="0.59999389629810485"/>
  </sheetPr>
  <dimension ref="A1:Q12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179</v>
      </c>
      <c r="C4" s="53" t="s">
        <v>36</v>
      </c>
      <c r="D4" s="148" t="str">
        <f>'01.- Presupuesto'!F89</f>
        <v>m3</v>
      </c>
      <c r="E4" s="149" t="str">
        <f>'01.- Presupuesto'!C89</f>
        <v>Suministro e instalación emplantillado hormigón G5</v>
      </c>
      <c r="F4" s="73">
        <f>'01.- Presupuesto'!G89</f>
        <v>0.1</v>
      </c>
      <c r="G4" s="55">
        <f>G10</f>
        <v>120719.806</v>
      </c>
      <c r="H4" s="55">
        <f>H10</f>
        <v>12071.981</v>
      </c>
      <c r="J4" s="74" t="s">
        <v>30</v>
      </c>
      <c r="K4" s="74" t="s">
        <v>37</v>
      </c>
      <c r="M4" s="70">
        <f>SUMIF(C5:C22,"Material",K5:K22)</f>
        <v>10918.425000000001</v>
      </c>
      <c r="N4" s="70">
        <f>SUMIF(C5:C22,"Mano de Obra",K5:K22)</f>
        <v>961.29630000000009</v>
      </c>
      <c r="O4" s="70">
        <f>SUMIF(C5:C22,"Subcontrato",K5:K22)</f>
        <v>0</v>
      </c>
      <c r="P4" s="70">
        <f>SUMIF(C5:C22,"Ser&amp;Arr",K5:K22)</f>
        <v>192.25930000000002</v>
      </c>
      <c r="Q4" s="71">
        <f>SUM(M4:P4)</f>
        <v>12071.980600000001</v>
      </c>
    </row>
    <row r="5" spans="1:17" ht="16">
      <c r="B5" s="56"/>
      <c r="C5" s="56" t="s">
        <v>38</v>
      </c>
      <c r="D5" s="57" t="s">
        <v>67</v>
      </c>
      <c r="E5" s="58" t="s">
        <v>383</v>
      </c>
      <c r="F5" s="59">
        <v>1.1000000000000001</v>
      </c>
      <c r="G5" s="60">
        <f>HormG5</f>
        <v>98167.5</v>
      </c>
      <c r="H5" s="61">
        <f t="shared" ref="H5:H8" si="0">ROUND(F5*G5,3)</f>
        <v>107984.25</v>
      </c>
      <c r="J5" s="75">
        <f>F5*$F$4</f>
        <v>0.11000000000000001</v>
      </c>
      <c r="K5" s="67">
        <f>H5*$F$4</f>
        <v>10798.425000000001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9" si="1">F6*$F$4</f>
        <v>1.0000000000000002E-2</v>
      </c>
      <c r="K6" s="67">
        <f t="shared" ref="K6:K9" si="2">H6*$F$4</f>
        <v>120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</f>
        <v>0.33333333333333331</v>
      </c>
      <c r="G7" s="60">
        <f>Maestro</f>
        <v>7250</v>
      </c>
      <c r="H7" s="61">
        <f t="shared" si="0"/>
        <v>2416.6669999999999</v>
      </c>
      <c r="J7" s="75">
        <f t="shared" si="1"/>
        <v>3.3333333333333333E-2</v>
      </c>
      <c r="K7" s="67">
        <f t="shared" si="2"/>
        <v>241.66669999999999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</f>
        <v>1.3333333333333333</v>
      </c>
      <c r="G8" s="60">
        <f>Jornal</f>
        <v>5397.2222222222226</v>
      </c>
      <c r="H8" s="61">
        <f t="shared" si="0"/>
        <v>7196.2960000000003</v>
      </c>
      <c r="J8" s="75">
        <f t="shared" si="1"/>
        <v>0.13333333333333333</v>
      </c>
      <c r="K8" s="67">
        <f t="shared" si="2"/>
        <v>719.6296000000001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9612.9629999999997</v>
      </c>
      <c r="H9" s="61">
        <f>ROUND(F9*G9,3)</f>
        <v>1922.5930000000001</v>
      </c>
      <c r="J9" s="75">
        <f t="shared" si="1"/>
        <v>2.0000000000000004E-2</v>
      </c>
      <c r="K9" s="67">
        <f t="shared" si="2"/>
        <v>192.25930000000002</v>
      </c>
    </row>
    <row r="10" spans="1:17" ht="16">
      <c r="B10" s="62"/>
      <c r="C10" s="62"/>
      <c r="D10" s="63"/>
      <c r="E10" s="64" t="s">
        <v>419</v>
      </c>
      <c r="F10" s="120">
        <f>$F$4</f>
        <v>0.1</v>
      </c>
      <c r="G10" s="65">
        <f>SUM(H5:H9)</f>
        <v>120719.806</v>
      </c>
      <c r="H10" s="65">
        <f t="shared" ref="H10" si="3">ROUND(F10*G10,3)</f>
        <v>12071.981</v>
      </c>
      <c r="K10" s="76">
        <f>SUM(K5:K9)</f>
        <v>12071.980600000001</v>
      </c>
    </row>
    <row r="12" spans="1:17">
      <c r="C12" s="66"/>
    </row>
  </sheetData>
  <dataValidations count="1">
    <dataValidation type="list" allowBlank="1" showErrorMessage="1" sqref="C10 C4" xr:uid="{E74CE7C5-065B-4179-8DF3-FEFA1296E6CD}">
      <formula1>"Capítulo,Partida,Mano de obra,Maquinaria,Material,Otros,Tarea"</formula1>
    </dataValidation>
  </dataValidations>
  <hyperlinks>
    <hyperlink ref="B1" location="'01.- Presupuesto'!A1" display="02.- Presupuesto'!A1" xr:uid="{6C43D8CA-6345-8442-B431-64C982539DD5}"/>
  </hyperlinks>
  <pageMargins left="0.7" right="0.7" top="0.75" bottom="0.75" header="0.3" footer="0.3"/>
  <pageSetup orientation="portrait" horizontalDpi="0" verticalDpi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C67E-FD4E-4447-8AD3-481581A69591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180</v>
      </c>
      <c r="C4" s="53" t="s">
        <v>36</v>
      </c>
      <c r="D4" s="148" t="str">
        <f>'01.- Presupuesto'!F90</f>
        <v>m3</v>
      </c>
      <c r="E4" s="149" t="str">
        <f>'01.- Presupuesto'!C90</f>
        <v>Excavación maquinaría local y traslado a botadero, hasta 20 Km</v>
      </c>
      <c r="F4" s="73">
        <f>'01.- Presupuesto'!G90</f>
        <v>1.3</v>
      </c>
      <c r="G4" s="55">
        <f>G9</f>
        <v>25500</v>
      </c>
      <c r="H4" s="55">
        <f>H9</f>
        <v>33150</v>
      </c>
      <c r="J4" s="74" t="s">
        <v>30</v>
      </c>
      <c r="K4" s="74" t="s">
        <v>37</v>
      </c>
      <c r="M4" s="70">
        <f>SUMIF(C5:C21,"Material",K5:K21)</f>
        <v>0</v>
      </c>
      <c r="N4" s="70">
        <f>SUMIF(C5:C21,"Mano de Obra",K5:K21)</f>
        <v>0</v>
      </c>
      <c r="O4" s="70">
        <f>SUMIF(C5:C21,"Subcontrato",K5:K21)</f>
        <v>0</v>
      </c>
      <c r="P4" s="70">
        <f>SUMIF(C5:C21,"Ser&amp;Arr",K5:K21)</f>
        <v>33150</v>
      </c>
      <c r="Q4" s="71">
        <f>SUM(M4:P4)</f>
        <v>33150</v>
      </c>
    </row>
    <row r="5" spans="1:17" ht="16">
      <c r="B5" s="56"/>
      <c r="C5" s="56" t="s">
        <v>54</v>
      </c>
      <c r="D5" s="57" t="s">
        <v>348</v>
      </c>
      <c r="E5" s="58" t="s">
        <v>353</v>
      </c>
      <c r="F5" s="59">
        <f>1/20</f>
        <v>0.05</v>
      </c>
      <c r="G5" s="60">
        <f>Excavadora</f>
        <v>50000</v>
      </c>
      <c r="H5" s="61">
        <f t="shared" ref="H5:H8" si="0">ROUND(F5*G5,3)</f>
        <v>2500</v>
      </c>
      <c r="J5" s="75">
        <f>F5*$F$4</f>
        <v>6.5000000000000002E-2</v>
      </c>
      <c r="K5" s="67">
        <f>H5*$F$4</f>
        <v>3250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8" si="1">F6*$F$4</f>
        <v>6.5000000000000002E-2</v>
      </c>
      <c r="K6" s="67">
        <f t="shared" ref="K6:K8" si="2">H6*$F$4</f>
        <v>2080</v>
      </c>
    </row>
    <row r="7" spans="1:17" ht="16">
      <c r="B7" s="56"/>
      <c r="C7" s="56" t="s">
        <v>54</v>
      </c>
      <c r="D7" s="57" t="s">
        <v>348</v>
      </c>
      <c r="E7" s="58" t="s">
        <v>349</v>
      </c>
      <c r="F7" s="59">
        <f>1/20</f>
        <v>0.05</v>
      </c>
      <c r="G7" s="60">
        <f>Tolva</f>
        <v>38000</v>
      </c>
      <c r="H7" s="61">
        <f t="shared" si="0"/>
        <v>1900</v>
      </c>
      <c r="J7" s="75">
        <f t="shared" si="1"/>
        <v>6.5000000000000002E-2</v>
      </c>
      <c r="K7" s="67">
        <f t="shared" si="2"/>
        <v>2470</v>
      </c>
    </row>
    <row r="8" spans="1:17" ht="16">
      <c r="B8" s="56"/>
      <c r="C8" s="56" t="s">
        <v>54</v>
      </c>
      <c r="D8" s="57" t="s">
        <v>67</v>
      </c>
      <c r="E8" s="58" t="s">
        <v>70</v>
      </c>
      <c r="F8" s="59">
        <v>1.3</v>
      </c>
      <c r="G8" s="60">
        <v>15000</v>
      </c>
      <c r="H8" s="61">
        <f t="shared" si="0"/>
        <v>19500</v>
      </c>
      <c r="J8" s="75">
        <f t="shared" si="1"/>
        <v>1.6900000000000002</v>
      </c>
      <c r="K8" s="67">
        <f t="shared" si="2"/>
        <v>25350</v>
      </c>
    </row>
    <row r="9" spans="1:17" ht="16">
      <c r="B9" s="62"/>
      <c r="C9" s="62"/>
      <c r="D9" s="63"/>
      <c r="E9" s="64" t="s">
        <v>420</v>
      </c>
      <c r="F9" s="120">
        <f>$F$4</f>
        <v>1.3</v>
      </c>
      <c r="G9" s="65">
        <f>SUM(H5:H8)</f>
        <v>25500</v>
      </c>
      <c r="H9" s="65">
        <f t="shared" ref="H9" si="3">ROUND(F9*G9,3)</f>
        <v>33150</v>
      </c>
      <c r="K9" s="76">
        <f>SUM(K5:K8)</f>
        <v>33150</v>
      </c>
    </row>
    <row r="11" spans="1:17">
      <c r="C11" s="66"/>
    </row>
  </sheetData>
  <dataValidations count="1">
    <dataValidation type="list" allowBlank="1" showErrorMessage="1" sqref="C9 C4" xr:uid="{82D6806D-3654-47F6-B7E0-EC23F8EC133E}">
      <formula1>"Capítulo,Partida,Mano de obra,Maquinaria,Material,Otros,Tarea"</formula1>
    </dataValidation>
  </dataValidations>
  <hyperlinks>
    <hyperlink ref="B1" location="'01.- Presupuesto'!A1" display="02.- Presupuesto'!A1" xr:uid="{DB4EB525-A6B4-044A-90BA-7DAEB8554DD5}"/>
  </hyperlinks>
  <pageMargins left="0.7" right="0.7" top="0.75" bottom="0.75" header="0.3" footer="0.3"/>
  <pageSetup orientation="portrait" horizontalDpi="0" verticalDpi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B815-E63E-43F0-BF93-7DFD6249FCDE}">
  <sheetPr>
    <tabColor theme="9" tint="0.59999389629810485"/>
  </sheetPr>
  <dimension ref="A1:Q14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181</v>
      </c>
      <c r="C4" s="53" t="s">
        <v>36</v>
      </c>
      <c r="D4" s="148" t="str">
        <f>'01.- Presupuesto'!F91</f>
        <v>m2</v>
      </c>
      <c r="E4" s="149" t="str">
        <f>'01.- Presupuesto'!C91</f>
        <v>Suministro y construcción moldajes de madera o metálicos</v>
      </c>
      <c r="F4" s="73">
        <f>'01.- Presupuesto'!G91</f>
        <v>17.3</v>
      </c>
      <c r="G4" s="55">
        <f>G12</f>
        <v>16475.795999999998</v>
      </c>
      <c r="H4" s="55">
        <f>H12</f>
        <v>285031.27100000001</v>
      </c>
      <c r="J4" s="74" t="s">
        <v>30</v>
      </c>
      <c r="K4" s="74" t="s">
        <v>37</v>
      </c>
      <c r="M4" s="70">
        <f>SUMIF(C5:C24,"Material",K5:K24)</f>
        <v>204759.2708</v>
      </c>
      <c r="N4" s="70">
        <f>SUMIF(C5:C24,"Mano de Obra",K5:K24)</f>
        <v>66893.339099999997</v>
      </c>
      <c r="O4" s="70">
        <f>SUMIF(C5:C24,"Subcontrato",K5:K24)</f>
        <v>0</v>
      </c>
      <c r="P4" s="70">
        <f>SUMIF(C5:C24,"Ser&amp;Arr",K5:K24)</f>
        <v>13378.660900000001</v>
      </c>
      <c r="Q4" s="71">
        <f>SUM(M4:P4)</f>
        <v>285031.2708</v>
      </c>
    </row>
    <row r="5" spans="1:17" ht="16">
      <c r="B5" s="56"/>
      <c r="C5" s="56" t="s">
        <v>38</v>
      </c>
      <c r="D5" s="57" t="s">
        <v>39</v>
      </c>
      <c r="E5" s="58" t="s">
        <v>390</v>
      </c>
      <c r="F5" s="59">
        <f>1/0.48</f>
        <v>2.0833333333333335</v>
      </c>
      <c r="G5" s="60">
        <v>2400</v>
      </c>
      <c r="H5" s="61">
        <f t="shared" ref="H5:H10" si="0">ROUND(F5*G5,3)</f>
        <v>5000</v>
      </c>
      <c r="J5" s="75">
        <f>F5*$F$4</f>
        <v>36.041666666666671</v>
      </c>
      <c r="K5" s="67">
        <f>H5*$F$4</f>
        <v>86500</v>
      </c>
    </row>
    <row r="6" spans="1:17" ht="16">
      <c r="B6" s="56"/>
      <c r="C6" s="56" t="s">
        <v>38</v>
      </c>
      <c r="D6" s="57" t="s">
        <v>39</v>
      </c>
      <c r="E6" s="58" t="s">
        <v>391</v>
      </c>
      <c r="F6" s="59">
        <f>1.05*1/(1.22*2.44)</f>
        <v>0.35272776135447464</v>
      </c>
      <c r="G6" s="60">
        <v>16966</v>
      </c>
      <c r="H6" s="61">
        <f t="shared" si="0"/>
        <v>5984.3789999999999</v>
      </c>
      <c r="J6" s="75">
        <f t="shared" ref="J6:J10" si="1">F6*$F$4</f>
        <v>6.1021902714324119</v>
      </c>
      <c r="K6" s="67">
        <f t="shared" ref="K6:K10" si="2">H6*$F$4</f>
        <v>103529.7567</v>
      </c>
    </row>
    <row r="7" spans="1:17" ht="16">
      <c r="B7" s="56"/>
      <c r="C7" s="56" t="s">
        <v>38</v>
      </c>
      <c r="D7" s="57" t="s">
        <v>75</v>
      </c>
      <c r="E7" s="58" t="s">
        <v>392</v>
      </c>
      <c r="F7" s="59">
        <f>1/4</f>
        <v>0.25</v>
      </c>
      <c r="G7" s="60">
        <v>1184</v>
      </c>
      <c r="H7" s="61">
        <f t="shared" si="0"/>
        <v>296</v>
      </c>
      <c r="J7" s="75">
        <f t="shared" si="1"/>
        <v>4.3250000000000002</v>
      </c>
      <c r="K7" s="67">
        <f t="shared" si="2"/>
        <v>5120.8</v>
      </c>
    </row>
    <row r="8" spans="1:17" ht="16">
      <c r="B8" s="56"/>
      <c r="C8" s="56" t="s">
        <v>38</v>
      </c>
      <c r="D8" s="57" t="s">
        <v>39</v>
      </c>
      <c r="E8" s="58" t="s">
        <v>393</v>
      </c>
      <c r="F8" s="59">
        <f>1/72</f>
        <v>1.3888888888888888E-2</v>
      </c>
      <c r="G8" s="60">
        <v>39990</v>
      </c>
      <c r="H8" s="61">
        <f t="shared" si="0"/>
        <v>555.41700000000003</v>
      </c>
      <c r="J8" s="75">
        <f t="shared" si="1"/>
        <v>0.24027777777777778</v>
      </c>
      <c r="K8" s="67">
        <f t="shared" si="2"/>
        <v>9608.7141000000011</v>
      </c>
    </row>
    <row r="9" spans="1:17" ht="16">
      <c r="B9" s="56"/>
      <c r="C9" s="56" t="s">
        <v>40</v>
      </c>
      <c r="D9" s="57" t="s">
        <v>41</v>
      </c>
      <c r="E9" s="58" t="s">
        <v>90</v>
      </c>
      <c r="F9" s="59">
        <f>0.3</f>
        <v>0.3</v>
      </c>
      <c r="G9" s="60">
        <f>Maestro</f>
        <v>7250</v>
      </c>
      <c r="H9" s="61">
        <f t="shared" si="0"/>
        <v>2175</v>
      </c>
      <c r="J9" s="75">
        <f t="shared" si="1"/>
        <v>5.19</v>
      </c>
      <c r="K9" s="67">
        <f t="shared" si="2"/>
        <v>37627.5</v>
      </c>
    </row>
    <row r="10" spans="1:17" ht="16">
      <c r="B10" s="56"/>
      <c r="C10" s="56" t="s">
        <v>40</v>
      </c>
      <c r="D10" s="57" t="s">
        <v>41</v>
      </c>
      <c r="E10" s="58" t="s">
        <v>91</v>
      </c>
      <c r="F10" s="59">
        <f>0.3</f>
        <v>0.3</v>
      </c>
      <c r="G10" s="60">
        <f>Ayudante</f>
        <v>5638.8888888888887</v>
      </c>
      <c r="H10" s="61">
        <f t="shared" si="0"/>
        <v>1691.6669999999999</v>
      </c>
      <c r="J10" s="75">
        <f t="shared" si="1"/>
        <v>5.19</v>
      </c>
      <c r="K10" s="67">
        <f t="shared" si="2"/>
        <v>29265.839100000001</v>
      </c>
    </row>
    <row r="11" spans="1:17" ht="16">
      <c r="B11" s="56"/>
      <c r="C11" s="56" t="s">
        <v>54</v>
      </c>
      <c r="D11" s="57" t="s">
        <v>42</v>
      </c>
      <c r="E11" s="58" t="s">
        <v>55</v>
      </c>
      <c r="F11" s="59">
        <v>0.2</v>
      </c>
      <c r="G11" s="60">
        <f>SUM(H9:H10)</f>
        <v>3866.6669999999999</v>
      </c>
      <c r="H11" s="61">
        <f>ROUND(F11*G11,3)</f>
        <v>773.33299999999997</v>
      </c>
      <c r="J11" s="75">
        <f>F11*$F$4</f>
        <v>3.4600000000000004</v>
      </c>
      <c r="K11" s="67">
        <f>H11*$F$4</f>
        <v>13378.660900000001</v>
      </c>
    </row>
    <row r="12" spans="1:17" ht="16">
      <c r="B12" s="62"/>
      <c r="C12" s="62"/>
      <c r="D12" s="63"/>
      <c r="E12" s="64" t="s">
        <v>421</v>
      </c>
      <c r="F12" s="120">
        <f>$F$4</f>
        <v>17.3</v>
      </c>
      <c r="G12" s="65">
        <f>SUM(H5:H11)</f>
        <v>16475.795999999998</v>
      </c>
      <c r="H12" s="65">
        <f t="shared" ref="H12" si="3">ROUND(F12*G12,3)</f>
        <v>285031.27100000001</v>
      </c>
      <c r="K12" s="76">
        <f>SUM(K5:K11)</f>
        <v>285031.2708</v>
      </c>
    </row>
    <row r="14" spans="1:17">
      <c r="C14" s="66"/>
    </row>
  </sheetData>
  <dataValidations count="1">
    <dataValidation type="list" allowBlank="1" showErrorMessage="1" sqref="C12 C4" xr:uid="{65E8A65C-4437-43EF-9039-4303306F22C8}">
      <formula1>"Capítulo,Partida,Mano de obra,Maquinaria,Material,Otros,Tarea"</formula1>
    </dataValidation>
  </dataValidations>
  <hyperlinks>
    <hyperlink ref="B1" location="'01.- Presupuesto'!A1" display="02.- Presupuesto'!A1" xr:uid="{3163FA05-FC9C-1344-99FE-6D0083DB1D0B}"/>
  </hyperlinks>
  <pageMargins left="0.7" right="0.7" top="0.75" bottom="0.75" header="0.3" footer="0.3"/>
  <pageSetup orientation="portrait" horizontalDpi="0" verticalDpi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3C89-37DA-46E5-A278-A126661B2F3E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182</v>
      </c>
      <c r="C4" s="53" t="s">
        <v>36</v>
      </c>
      <c r="D4" s="148" t="str">
        <f>'01.- Presupuesto'!F92</f>
        <v>kg</v>
      </c>
      <c r="E4" s="149" t="str">
        <f>'01.- Presupuesto'!C92</f>
        <v>Suministro e instalación enfierradura malla acma C-188</v>
      </c>
      <c r="F4" s="73">
        <f>'01.- Presupuesto'!G92</f>
        <v>35</v>
      </c>
      <c r="G4" s="55">
        <f>G9</f>
        <v>2586.7730000000001</v>
      </c>
      <c r="H4" s="55">
        <f>H9</f>
        <v>90537.054999999993</v>
      </c>
      <c r="J4" s="74" t="s">
        <v>30</v>
      </c>
      <c r="K4" s="74" t="s">
        <v>37</v>
      </c>
      <c r="M4" s="70">
        <f>SUMIF(C5:C21,"Material",K5:K21)</f>
        <v>50162.595000000001</v>
      </c>
      <c r="N4" s="70">
        <f>SUMIF(C5:C21,"Mano de Obra",K5:K21)</f>
        <v>33645.394999999997</v>
      </c>
      <c r="O4" s="70">
        <f>SUMIF(C5:C21,"Subcontrato",K5:K21)</f>
        <v>0</v>
      </c>
      <c r="P4" s="70">
        <f>SUMIF(C5:C21,"Ser&amp;Arr",K5:K21)</f>
        <v>6729.0649999999996</v>
      </c>
      <c r="Q4" s="71">
        <f>SUM(M4:P4)</f>
        <v>90537.054999999993</v>
      </c>
    </row>
    <row r="5" spans="1:17" ht="16">
      <c r="B5" s="56"/>
      <c r="C5" s="56" t="s">
        <v>38</v>
      </c>
      <c r="D5" s="57" t="s">
        <v>39</v>
      </c>
      <c r="E5" s="58" t="s">
        <v>447</v>
      </c>
      <c r="F5" s="59">
        <f>1.05*1/30.03</f>
        <v>3.4965034965034968E-2</v>
      </c>
      <c r="G5" s="60">
        <v>40990</v>
      </c>
      <c r="H5" s="61">
        <f t="shared" ref="H5:H7" si="0">ROUND(F5*G5,3)</f>
        <v>1433.2170000000001</v>
      </c>
      <c r="J5" s="75">
        <f>F5*$F$4</f>
        <v>1.223776223776224</v>
      </c>
      <c r="K5" s="67">
        <f>H5*$F$4</f>
        <v>50162.595000000001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1/30</f>
        <v>3.3333333333333333E-2</v>
      </c>
      <c r="G6" s="60">
        <f>Maestro</f>
        <v>7250</v>
      </c>
      <c r="H6" s="61">
        <f t="shared" si="0"/>
        <v>241.667</v>
      </c>
      <c r="J6" s="75">
        <f t="shared" ref="J6:J8" si="1">F6*$F$4</f>
        <v>1.1666666666666667</v>
      </c>
      <c r="K6" s="67">
        <f t="shared" ref="K6:K8" si="2">H6*$F$4</f>
        <v>8458.3449999999993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4/30</f>
        <v>0.13333333333333333</v>
      </c>
      <c r="G7" s="60">
        <f>Jornal</f>
        <v>5397.2222222222226</v>
      </c>
      <c r="H7" s="61">
        <f t="shared" si="0"/>
        <v>719.63</v>
      </c>
      <c r="J7" s="75">
        <f t="shared" si="1"/>
        <v>4.666666666666667</v>
      </c>
      <c r="K7" s="67">
        <f t="shared" si="2"/>
        <v>25187.05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961.29700000000003</v>
      </c>
      <c r="H8" s="61">
        <f>ROUND(F8*G8,3)</f>
        <v>192.25899999999999</v>
      </c>
      <c r="J8" s="75">
        <f t="shared" si="1"/>
        <v>7</v>
      </c>
      <c r="K8" s="67">
        <f t="shared" si="2"/>
        <v>6729.0649999999996</v>
      </c>
    </row>
    <row r="9" spans="1:17" ht="16">
      <c r="B9" s="62"/>
      <c r="C9" s="62"/>
      <c r="D9" s="63"/>
      <c r="E9" s="64" t="s">
        <v>450</v>
      </c>
      <c r="F9" s="120">
        <f>$F$4</f>
        <v>35</v>
      </c>
      <c r="G9" s="65">
        <f>SUM(H5:H8)</f>
        <v>2586.7730000000001</v>
      </c>
      <c r="H9" s="65">
        <f t="shared" ref="H9" si="3">ROUND(F9*G9,3)</f>
        <v>90537.054999999993</v>
      </c>
      <c r="K9" s="76">
        <f>SUM(K5:K8)</f>
        <v>90537.055000000008</v>
      </c>
    </row>
    <row r="11" spans="1:17">
      <c r="C11" s="66"/>
    </row>
  </sheetData>
  <dataValidations count="1">
    <dataValidation type="list" allowBlank="1" showErrorMessage="1" sqref="C9 C4" xr:uid="{3BFAAE4F-615C-460B-9E41-C4593EA2AC5A}">
      <formula1>"Capítulo,Partida,Mano de obra,Maquinaria,Material,Otros,Tarea"</formula1>
    </dataValidation>
  </dataValidations>
  <hyperlinks>
    <hyperlink ref="B1" location="'01.- Presupuesto'!A1" display="02.- Presupuesto'!A1" xr:uid="{F63CF4A2-856D-9B4C-AAED-4C434B69199B}"/>
  </hyperlinks>
  <pageMargins left="0.7" right="0.7" top="0.75" bottom="0.75" header="0.3" footer="0.3"/>
  <pageSetup orientation="portrait" horizontalDpi="0" verticalDpi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494C-3760-4E6E-A55F-CFF2C1351DE1}">
  <sheetPr>
    <tabColor theme="9" tint="0.59999389629810485"/>
  </sheetPr>
  <dimension ref="A1:Q7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183</v>
      </c>
      <c r="C4" s="53" t="s">
        <v>36</v>
      </c>
      <c r="D4" s="148" t="str">
        <f>'01.- Presupuesto'!F93</f>
        <v>m</v>
      </c>
      <c r="E4" s="149" t="str">
        <f>'01.- Presupuesto'!C93</f>
        <v>Ducto PVC 110mm, considera salida desde pretiles de transformador a cámara separadora</v>
      </c>
      <c r="F4" s="73">
        <f>'01.- Presupuesto'!G93</f>
        <v>32</v>
      </c>
      <c r="G4" s="55">
        <f>G7</f>
        <v>19571.289000000001</v>
      </c>
      <c r="H4" s="55">
        <f>H7</f>
        <v>626281.24800000002</v>
      </c>
      <c r="J4" s="74" t="s">
        <v>30</v>
      </c>
      <c r="K4" s="74" t="s">
        <v>37</v>
      </c>
      <c r="M4" s="70">
        <f>SUMIF(C5:C8,"Material",K5:K8)</f>
        <v>82281.248000000007</v>
      </c>
      <c r="N4" s="70">
        <f>SUMIF(C5:C8,"Mano de Obra",K5:K8)</f>
        <v>0</v>
      </c>
      <c r="O4" s="70">
        <f>SUMIF(C5:C8,"Subcontrato",K5:K8)</f>
        <v>544000</v>
      </c>
      <c r="P4" s="70">
        <f>SUMIF(C5:C8,"Ser&amp;Arr",K5:K8)</f>
        <v>0</v>
      </c>
      <c r="Q4" s="71">
        <f>SUM(M4:P4)</f>
        <v>626281.24800000002</v>
      </c>
    </row>
    <row r="5" spans="1:17" ht="16">
      <c r="B5" s="56"/>
      <c r="C5" s="56" t="s">
        <v>38</v>
      </c>
      <c r="D5" s="57" t="s">
        <v>39</v>
      </c>
      <c r="E5" s="58" t="s">
        <v>536</v>
      </c>
      <c r="F5" s="59">
        <f>1.1*1/6</f>
        <v>0.18333333333333335</v>
      </c>
      <c r="G5" s="60">
        <f>16690/1.19</f>
        <v>14025.210084033613</v>
      </c>
      <c r="H5" s="61">
        <f t="shared" ref="H5:H7" si="0">ROUND(F5*G5,3)</f>
        <v>2571.2890000000002</v>
      </c>
      <c r="J5" s="75">
        <f>F5*$F$4</f>
        <v>5.8666666666666671</v>
      </c>
      <c r="K5" s="67">
        <f>H5*$F$4</f>
        <v>82281.248000000007</v>
      </c>
    </row>
    <row r="6" spans="1:17" ht="16">
      <c r="B6" s="56"/>
      <c r="C6" s="56" t="s">
        <v>94</v>
      </c>
      <c r="D6" s="57" t="s">
        <v>65</v>
      </c>
      <c r="E6" s="58" t="s">
        <v>538</v>
      </c>
      <c r="F6" s="59">
        <v>1</v>
      </c>
      <c r="G6" s="60">
        <f>SCSan</f>
        <v>17000</v>
      </c>
      <c r="H6" s="61">
        <f t="shared" si="0"/>
        <v>17000</v>
      </c>
      <c r="J6" s="75">
        <f t="shared" ref="J6" si="1">F6*$F$4</f>
        <v>32</v>
      </c>
      <c r="K6" s="67">
        <f t="shared" ref="K6" si="2">H6*$F$4</f>
        <v>544000</v>
      </c>
    </row>
    <row r="7" spans="1:17" ht="16">
      <c r="B7" s="62"/>
      <c r="C7" s="62"/>
      <c r="D7" s="63"/>
      <c r="E7" s="64" t="s">
        <v>537</v>
      </c>
      <c r="F7" s="120">
        <f>$F$4</f>
        <v>32</v>
      </c>
      <c r="G7" s="65">
        <f>SUM(H5:H6)</f>
        <v>19571.289000000001</v>
      </c>
      <c r="H7" s="65">
        <f t="shared" si="0"/>
        <v>626281.24800000002</v>
      </c>
      <c r="K7" s="76">
        <f>SUM(K5:K6)</f>
        <v>626281.24800000002</v>
      </c>
    </row>
  </sheetData>
  <dataValidations count="1">
    <dataValidation type="list" allowBlank="1" showErrorMessage="1" sqref="C7 C4" xr:uid="{CD986B17-D03C-42B7-BBA5-BAAC8D0D664D}">
      <formula1>"Capítulo,Partida,Mano de obra,Maquinaria,Material,Otros,Tarea"</formula1>
    </dataValidation>
  </dataValidations>
  <hyperlinks>
    <hyperlink ref="B1" location="'01.- Presupuesto'!A1" display="02.- Presupuesto'!A1" xr:uid="{51294C7B-83BA-2D4A-A315-2A17AEB38918}"/>
  </hyperlinks>
  <pageMargins left="0.7" right="0.7" top="0.75" bottom="0.75" header="0.3" footer="0.3"/>
  <pageSetup orientation="portrait" horizontalDpi="0" verticalDpi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32EE-6542-4423-B9D2-1EF235CFA3F2}">
  <sheetPr>
    <tabColor theme="9" tint="0.59999389629810485"/>
  </sheetPr>
  <dimension ref="A1:Q13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195</v>
      </c>
      <c r="C4" s="53" t="s">
        <v>36</v>
      </c>
      <c r="D4" s="148" t="str">
        <f>'01.- Presupuesto'!F95</f>
        <v>m3</v>
      </c>
      <c r="E4" s="149" t="str">
        <f>'01.- Presupuesto'!C95</f>
        <v>Suministro y colocación arena limpia compactada</v>
      </c>
      <c r="F4" s="73">
        <f>'01.- Presupuesto'!G95</f>
        <v>14.4</v>
      </c>
      <c r="G4" s="55">
        <f>G11</f>
        <v>34686.582999999999</v>
      </c>
      <c r="H4" s="55">
        <f>H11</f>
        <v>499486.79499999998</v>
      </c>
      <c r="J4" s="74" t="s">
        <v>30</v>
      </c>
      <c r="K4" s="74" t="s">
        <v>37</v>
      </c>
      <c r="M4" s="70">
        <f>SUMIF(C5:C23,"Material",K5:K23)</f>
        <v>449280</v>
      </c>
      <c r="N4" s="70">
        <f>SUMIF(C5:C23,"Mano de Obra",K5:K23)</f>
        <v>20763.993600000002</v>
      </c>
      <c r="O4" s="70">
        <f>SUMIF(C5:C23,"Subcontrato",K5:K23)</f>
        <v>0</v>
      </c>
      <c r="P4" s="70">
        <f>SUMIF(C5:C23,"Ser&amp;Arr",K5:K23)</f>
        <v>29442.801599999999</v>
      </c>
      <c r="Q4" s="71">
        <f>SUM(M4:P4)</f>
        <v>499486.79519999999</v>
      </c>
    </row>
    <row r="5" spans="1:17" ht="16">
      <c r="B5" s="56"/>
      <c r="C5" s="56" t="s">
        <v>38</v>
      </c>
      <c r="D5" s="57" t="s">
        <v>67</v>
      </c>
      <c r="E5" s="58" t="s">
        <v>453</v>
      </c>
      <c r="F5" s="59">
        <v>1.3</v>
      </c>
      <c r="G5" s="60">
        <f>Arena</f>
        <v>24000</v>
      </c>
      <c r="H5" s="61">
        <f t="shared" ref="H5:H10" si="0">ROUND(F5*G5,3)</f>
        <v>31200</v>
      </c>
      <c r="J5" s="75">
        <f>F5*$F$4</f>
        <v>18.720000000000002</v>
      </c>
      <c r="K5" s="67">
        <f>H5*$F$4</f>
        <v>449280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1/20</f>
        <v>0.05</v>
      </c>
      <c r="G6" s="60">
        <f>Maestro</f>
        <v>7250</v>
      </c>
      <c r="H6" s="61">
        <f t="shared" si="0"/>
        <v>362.5</v>
      </c>
      <c r="J6" s="75">
        <f t="shared" ref="J6:J10" si="1">F6*$F$4</f>
        <v>0.72000000000000008</v>
      </c>
      <c r="K6" s="67">
        <f t="shared" ref="K6:K10" si="2">H6*$F$4</f>
        <v>5220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4*1/20</f>
        <v>0.2</v>
      </c>
      <c r="G7" s="60">
        <f>Jornal</f>
        <v>5397.2222222222226</v>
      </c>
      <c r="H7" s="61">
        <f t="shared" si="0"/>
        <v>1079.444</v>
      </c>
      <c r="J7" s="75">
        <f t="shared" si="1"/>
        <v>2.8800000000000003</v>
      </c>
      <c r="K7" s="67">
        <f t="shared" si="2"/>
        <v>15543.9936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1441.944</v>
      </c>
      <c r="H8" s="61">
        <f>ROUND(F8*G8,3)</f>
        <v>288.38900000000001</v>
      </c>
      <c r="J8" s="75">
        <f t="shared" si="1"/>
        <v>2.8800000000000003</v>
      </c>
      <c r="K8" s="67">
        <f t="shared" si="2"/>
        <v>4152.8016000000007</v>
      </c>
    </row>
    <row r="9" spans="1:17" ht="16">
      <c r="B9" s="56"/>
      <c r="C9" s="56" t="s">
        <v>54</v>
      </c>
      <c r="D9" s="57" t="s">
        <v>348</v>
      </c>
      <c r="E9" s="58" t="s">
        <v>350</v>
      </c>
      <c r="F9" s="59">
        <f>1/20</f>
        <v>0.05</v>
      </c>
      <c r="G9" s="60">
        <f>Retroexcavadora</f>
        <v>32000</v>
      </c>
      <c r="H9" s="61">
        <f t="shared" si="0"/>
        <v>1600</v>
      </c>
      <c r="J9" s="75">
        <f t="shared" si="1"/>
        <v>0.72000000000000008</v>
      </c>
      <c r="K9" s="67">
        <f t="shared" si="2"/>
        <v>23040</v>
      </c>
    </row>
    <row r="10" spans="1:17" ht="16">
      <c r="B10" s="56"/>
      <c r="C10" s="56" t="s">
        <v>54</v>
      </c>
      <c r="D10" s="57" t="s">
        <v>71</v>
      </c>
      <c r="E10" s="58" t="s">
        <v>385</v>
      </c>
      <c r="F10" s="59">
        <f>1/20/8</f>
        <v>6.2500000000000003E-3</v>
      </c>
      <c r="G10" s="60">
        <v>25000</v>
      </c>
      <c r="H10" s="61">
        <f t="shared" si="0"/>
        <v>156.25</v>
      </c>
      <c r="J10" s="75">
        <f t="shared" si="1"/>
        <v>9.0000000000000011E-2</v>
      </c>
      <c r="K10" s="67">
        <f t="shared" si="2"/>
        <v>2250</v>
      </c>
    </row>
    <row r="11" spans="1:17" ht="16">
      <c r="B11" s="62"/>
      <c r="C11" s="62"/>
      <c r="D11" s="63"/>
      <c r="E11" s="64" t="s">
        <v>454</v>
      </c>
      <c r="F11" s="120">
        <f>$F$4</f>
        <v>14.4</v>
      </c>
      <c r="G11" s="65">
        <f>SUM(H5:H10)</f>
        <v>34686.582999999999</v>
      </c>
      <c r="H11" s="65">
        <f t="shared" ref="H11" si="3">ROUND(F11*G11,3)</f>
        <v>499486.79499999998</v>
      </c>
      <c r="K11" s="76">
        <f>SUM(K5:K10)</f>
        <v>499486.79519999999</v>
      </c>
    </row>
    <row r="13" spans="1:17">
      <c r="C13" s="66"/>
    </row>
  </sheetData>
  <dataValidations count="1">
    <dataValidation type="list" allowBlank="1" showErrorMessage="1" sqref="C11 C4" xr:uid="{C605BACB-2F08-46F3-BDA8-E1DEFE248805}">
      <formula1>"Capítulo,Partida,Mano de obra,Maquinaria,Material,Otros,Tarea"</formula1>
    </dataValidation>
  </dataValidations>
  <hyperlinks>
    <hyperlink ref="B1" location="'01.- Presupuesto'!A1" display="02.- Presupuesto'!A1" xr:uid="{6A0173B2-669E-614B-9B77-539A491B4146}"/>
  </hyperlinks>
  <pageMargins left="0.7" right="0.7" top="0.75" bottom="0.75" header="0.3" footer="0.3"/>
  <pageSetup orientation="portrait" horizontalDpi="0" verticalDpi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15BE-A91C-4351-993D-B9ED59D68059}">
  <sheetPr>
    <tabColor theme="9" tint="0.59999389629810485"/>
  </sheetPr>
  <dimension ref="A1:Q13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196</v>
      </c>
      <c r="C4" s="53" t="s">
        <v>36</v>
      </c>
      <c r="D4" s="148" t="str">
        <f>'01.- Presupuesto'!F96</f>
        <v>m3</v>
      </c>
      <c r="E4" s="149" t="str">
        <f>'01.- Presupuesto'!C96</f>
        <v>Suministro y colocación gravilla (bajo tamiz 1")</v>
      </c>
      <c r="F4" s="73">
        <f>'01.- Presupuesto'!G96</f>
        <v>2.5</v>
      </c>
      <c r="G4" s="55">
        <f>G11</f>
        <v>37286.583000000006</v>
      </c>
      <c r="H4" s="55">
        <f>H11</f>
        <v>93216.457999999999</v>
      </c>
      <c r="J4" s="74" t="s">
        <v>30</v>
      </c>
      <c r="K4" s="74" t="s">
        <v>37</v>
      </c>
      <c r="M4" s="70">
        <f>SUMIF(C5:C23,"Material",K5:K23)</f>
        <v>84500</v>
      </c>
      <c r="N4" s="70">
        <f>SUMIF(C5:C23,"Mano de Obra",K5:K23)</f>
        <v>3604.8599999999997</v>
      </c>
      <c r="O4" s="70">
        <f>SUMIF(C5:C23,"Subcontrato",K5:K23)</f>
        <v>0</v>
      </c>
      <c r="P4" s="70">
        <f>SUMIF(C5:C23,"Ser&amp;Arr",K5:K23)</f>
        <v>5111.5974999999999</v>
      </c>
      <c r="Q4" s="71">
        <f>SUM(M4:P4)</f>
        <v>93216.457500000004</v>
      </c>
    </row>
    <row r="5" spans="1:17" ht="16">
      <c r="B5" s="56"/>
      <c r="C5" s="56" t="s">
        <v>38</v>
      </c>
      <c r="D5" s="57" t="s">
        <v>67</v>
      </c>
      <c r="E5" s="58" t="s">
        <v>455</v>
      </c>
      <c r="F5" s="59">
        <v>1.3</v>
      </c>
      <c r="G5" s="60">
        <f>Gravilla</f>
        <v>26000</v>
      </c>
      <c r="H5" s="61">
        <f t="shared" ref="H5:H10" si="0">ROUND(F5*G5,3)</f>
        <v>33800</v>
      </c>
      <c r="J5" s="75">
        <f>F5*$F$4</f>
        <v>3.25</v>
      </c>
      <c r="K5" s="67">
        <f>H5*$F$4</f>
        <v>84500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1/20</f>
        <v>0.05</v>
      </c>
      <c r="G6" s="60">
        <f>Maestro</f>
        <v>7250</v>
      </c>
      <c r="H6" s="61">
        <f t="shared" si="0"/>
        <v>362.5</v>
      </c>
      <c r="J6" s="75">
        <f t="shared" ref="J6:J10" si="1">F6*$F$4</f>
        <v>0.125</v>
      </c>
      <c r="K6" s="67">
        <f t="shared" ref="K6:K10" si="2">H6*$F$4</f>
        <v>906.25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4*1/20</f>
        <v>0.2</v>
      </c>
      <c r="G7" s="60">
        <f>Jornal</f>
        <v>5397.2222222222226</v>
      </c>
      <c r="H7" s="61">
        <f t="shared" si="0"/>
        <v>1079.444</v>
      </c>
      <c r="J7" s="75">
        <f t="shared" si="1"/>
        <v>0.5</v>
      </c>
      <c r="K7" s="67">
        <f t="shared" si="2"/>
        <v>2698.6099999999997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1441.944</v>
      </c>
      <c r="H8" s="61">
        <f>ROUND(F8*G8,3)</f>
        <v>288.38900000000001</v>
      </c>
      <c r="J8" s="75">
        <f t="shared" si="1"/>
        <v>0.5</v>
      </c>
      <c r="K8" s="67">
        <f t="shared" si="2"/>
        <v>720.97250000000008</v>
      </c>
    </row>
    <row r="9" spans="1:17" ht="16">
      <c r="B9" s="56"/>
      <c r="C9" s="56" t="s">
        <v>54</v>
      </c>
      <c r="D9" s="57" t="s">
        <v>348</v>
      </c>
      <c r="E9" s="58" t="s">
        <v>350</v>
      </c>
      <c r="F9" s="59">
        <f>1/20</f>
        <v>0.05</v>
      </c>
      <c r="G9" s="60">
        <f>Retroexcavadora</f>
        <v>32000</v>
      </c>
      <c r="H9" s="61">
        <f t="shared" si="0"/>
        <v>1600</v>
      </c>
      <c r="J9" s="75">
        <f t="shared" si="1"/>
        <v>0.125</v>
      </c>
      <c r="K9" s="67">
        <f t="shared" si="2"/>
        <v>4000</v>
      </c>
    </row>
    <row r="10" spans="1:17" ht="16">
      <c r="B10" s="56"/>
      <c r="C10" s="56" t="s">
        <v>54</v>
      </c>
      <c r="D10" s="57" t="s">
        <v>71</v>
      </c>
      <c r="E10" s="58" t="s">
        <v>385</v>
      </c>
      <c r="F10" s="59">
        <f>1/20/8</f>
        <v>6.2500000000000003E-3</v>
      </c>
      <c r="G10" s="60">
        <v>25000</v>
      </c>
      <c r="H10" s="61">
        <f t="shared" si="0"/>
        <v>156.25</v>
      </c>
      <c r="J10" s="75">
        <f t="shared" si="1"/>
        <v>1.5625E-2</v>
      </c>
      <c r="K10" s="67">
        <f t="shared" si="2"/>
        <v>390.625</v>
      </c>
    </row>
    <row r="11" spans="1:17" ht="16">
      <c r="B11" s="62"/>
      <c r="C11" s="62"/>
      <c r="D11" s="63"/>
      <c r="E11" s="64" t="s">
        <v>456</v>
      </c>
      <c r="F11" s="120">
        <f>$F$4</f>
        <v>2.5</v>
      </c>
      <c r="G11" s="65">
        <f>SUM(H5:H10)</f>
        <v>37286.583000000006</v>
      </c>
      <c r="H11" s="65">
        <f t="shared" ref="H11" si="3">ROUND(F11*G11,3)</f>
        <v>93216.457999999999</v>
      </c>
      <c r="K11" s="76">
        <f>SUM(K5:K10)</f>
        <v>93216.457500000004</v>
      </c>
    </row>
    <row r="13" spans="1:17">
      <c r="C13" s="66"/>
    </row>
  </sheetData>
  <dataValidations count="1">
    <dataValidation type="list" allowBlank="1" showErrorMessage="1" sqref="C11 C4" xr:uid="{F605D93D-6FA0-474F-A430-0A0DA01681AD}">
      <formula1>"Capítulo,Partida,Mano de obra,Maquinaria,Material,Otros,Tarea"</formula1>
    </dataValidation>
  </dataValidations>
  <hyperlinks>
    <hyperlink ref="B1" location="'01.- Presupuesto'!A1" display="02.- Presupuesto'!A1" xr:uid="{38FDE49E-ED9A-2347-A92F-A7CA13FD9C8A}"/>
  </hyperlinks>
  <pageMargins left="0.7" right="0.7" top="0.75" bottom="0.75" header="0.3" footer="0.3"/>
  <pageSetup orientation="portrait" horizontalDpi="0" verticalDpi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E1E1-32FB-44B3-8329-B628F3326942}">
  <sheetPr>
    <tabColor theme="9" tint="0.59999389629810485"/>
  </sheetPr>
  <dimension ref="A1:Q8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197</v>
      </c>
      <c r="C4" s="53" t="s">
        <v>36</v>
      </c>
      <c r="D4" s="148" t="str">
        <f>'01.- Presupuesto'!F97</f>
        <v>un</v>
      </c>
      <c r="E4" s="149" t="str">
        <f>'01.- Presupuesto'!C97</f>
        <v>Suministro e instalación Cubos dren 26 t/m2</v>
      </c>
      <c r="F4" s="73">
        <f>'01.- Presupuesto'!G97</f>
        <v>48</v>
      </c>
      <c r="G4" s="55">
        <f>G8</f>
        <v>18599.722000000002</v>
      </c>
      <c r="H4" s="55">
        <f>H8</f>
        <v>892786.65599999996</v>
      </c>
      <c r="J4" s="74" t="s">
        <v>30</v>
      </c>
      <c r="K4" s="74" t="s">
        <v>37</v>
      </c>
      <c r="M4" s="70">
        <f>SUMIF(C5:C10,"Material",K5:K10)</f>
        <v>546720</v>
      </c>
      <c r="N4" s="70">
        <f>SUMIF(C5:C10,"Mano de Obra",K5:K10)</f>
        <v>346066.65599999996</v>
      </c>
      <c r="O4" s="70">
        <f>SUMIF(C5:C10,"Subcontrato",K5:K10)</f>
        <v>0</v>
      </c>
      <c r="P4" s="70">
        <f>SUMIF(C5:C10,"Ser&amp;Arr",K5:K10)</f>
        <v>0</v>
      </c>
      <c r="Q4" s="71">
        <f>SUM(M4:P4)</f>
        <v>892786.65599999996</v>
      </c>
    </row>
    <row r="5" spans="1:17" ht="16">
      <c r="B5" s="56"/>
      <c r="C5" s="56" t="s">
        <v>38</v>
      </c>
      <c r="D5" s="57" t="s">
        <v>39</v>
      </c>
      <c r="E5" s="58" t="s">
        <v>564</v>
      </c>
      <c r="F5" s="59">
        <v>1</v>
      </c>
      <c r="G5" s="60">
        <f>CuboDren</f>
        <v>11390</v>
      </c>
      <c r="H5" s="61">
        <f t="shared" ref="H5" si="0">ROUND(F5*G5,3)</f>
        <v>11390</v>
      </c>
      <c r="J5" s="75">
        <f>F5*$F$4</f>
        <v>48</v>
      </c>
      <c r="K5" s="67">
        <f>H5*$F$4</f>
        <v>546720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1/4</f>
        <v>0.25</v>
      </c>
      <c r="G6" s="60">
        <f>Maestro</f>
        <v>7250</v>
      </c>
      <c r="H6" s="61">
        <f t="shared" ref="H6:H8" si="1">ROUND(F6*G6,3)</f>
        <v>1812.5</v>
      </c>
      <c r="J6" s="75">
        <f t="shared" ref="J6:J7" si="2">F6*$F$4</f>
        <v>12</v>
      </c>
      <c r="K6" s="67">
        <f t="shared" ref="K6:K7" si="3">H6*$F$4</f>
        <v>87000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v>1</v>
      </c>
      <c r="G7" s="60">
        <f>Jornal</f>
        <v>5397.2222222222226</v>
      </c>
      <c r="H7" s="61">
        <f t="shared" si="1"/>
        <v>5397.2219999999998</v>
      </c>
      <c r="J7" s="75">
        <f t="shared" si="2"/>
        <v>48</v>
      </c>
      <c r="K7" s="67">
        <f t="shared" si="3"/>
        <v>259066.65599999999</v>
      </c>
    </row>
    <row r="8" spans="1:17" ht="16">
      <c r="B8" s="62"/>
      <c r="C8" s="62"/>
      <c r="D8" s="63"/>
      <c r="E8" s="64" t="s">
        <v>568</v>
      </c>
      <c r="F8" s="120">
        <f>$F$4</f>
        <v>48</v>
      </c>
      <c r="G8" s="65">
        <f>SUM(H5:H7)</f>
        <v>18599.722000000002</v>
      </c>
      <c r="H8" s="65">
        <f t="shared" si="1"/>
        <v>892786.65599999996</v>
      </c>
      <c r="K8" s="76">
        <f>SUM(K5:K7)</f>
        <v>892786.65599999996</v>
      </c>
    </row>
  </sheetData>
  <dataValidations count="1">
    <dataValidation type="list" allowBlank="1" showErrorMessage="1" sqref="C8 C4" xr:uid="{F3AC1987-EB48-4C4E-9359-D5817D52B166}">
      <formula1>"Capítulo,Partida,Mano de obra,Maquinaria,Material,Otros,Tarea"</formula1>
    </dataValidation>
  </dataValidations>
  <hyperlinks>
    <hyperlink ref="B1" location="'01.- Presupuesto'!A1" display="02.- Presupuesto'!A1" xr:uid="{EF039450-13E3-9947-AAB5-776C327A107D}"/>
  </hyperlinks>
  <pageMargins left="0.7" right="0.7" top="0.75" bottom="0.75" header="0.3" footer="0.3"/>
  <pageSetup orientation="portrait" horizontalDpi="0" verticalDpi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6427-0052-4306-A166-EF1491C8F2E1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198</v>
      </c>
      <c r="C4" s="53" t="s">
        <v>36</v>
      </c>
      <c r="D4" s="148" t="str">
        <f>'01.- Presupuesto'!F98</f>
        <v>m3</v>
      </c>
      <c r="E4" s="149" t="str">
        <f>'01.- Presupuesto'!C98</f>
        <v>Excavación máquinaria local, traslado a botadero hasta 20km (geométrica, sin esponajamiento)</v>
      </c>
      <c r="F4" s="73">
        <f>'01.- Presupuesto'!G98</f>
        <v>15</v>
      </c>
      <c r="G4" s="55">
        <f>G9</f>
        <v>25500</v>
      </c>
      <c r="H4" s="55">
        <f>H9</f>
        <v>382500</v>
      </c>
      <c r="J4" s="74" t="s">
        <v>30</v>
      </c>
      <c r="K4" s="74" t="s">
        <v>37</v>
      </c>
      <c r="M4" s="70">
        <f>SUMIF(C5:C21,"Material",K5:K21)</f>
        <v>0</v>
      </c>
      <c r="N4" s="70">
        <f>SUMIF(C5:C21,"Mano de Obra",K5:K21)</f>
        <v>0</v>
      </c>
      <c r="O4" s="70">
        <f>SUMIF(C5:C21,"Subcontrato",K5:K21)</f>
        <v>0</v>
      </c>
      <c r="P4" s="70">
        <f>SUMIF(C5:C21,"Ser&amp;Arr",K5:K21)</f>
        <v>382500</v>
      </c>
      <c r="Q4" s="71">
        <f>SUM(M4:P4)</f>
        <v>382500</v>
      </c>
    </row>
    <row r="5" spans="1:17" ht="16">
      <c r="B5" s="56"/>
      <c r="C5" s="56" t="s">
        <v>54</v>
      </c>
      <c r="D5" s="57" t="s">
        <v>348</v>
      </c>
      <c r="E5" s="58" t="s">
        <v>353</v>
      </c>
      <c r="F5" s="59">
        <f>1/20</f>
        <v>0.05</v>
      </c>
      <c r="G5" s="60">
        <f>Excavadora</f>
        <v>50000</v>
      </c>
      <c r="H5" s="61">
        <f t="shared" ref="H5:H8" si="0">ROUND(F5*G5,3)</f>
        <v>2500</v>
      </c>
      <c r="J5" s="75">
        <f>F5*$F$4</f>
        <v>0.75</v>
      </c>
      <c r="K5" s="67">
        <f>H5*$F$4</f>
        <v>37500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8" si="1">F6*$F$4</f>
        <v>0.75</v>
      </c>
      <c r="K6" s="67">
        <f t="shared" ref="K6:K8" si="2">H6*$F$4</f>
        <v>24000</v>
      </c>
    </row>
    <row r="7" spans="1:17" ht="16">
      <c r="B7" s="56"/>
      <c r="C7" s="56" t="s">
        <v>54</v>
      </c>
      <c r="D7" s="57" t="s">
        <v>348</v>
      </c>
      <c r="E7" s="58" t="s">
        <v>349</v>
      </c>
      <c r="F7" s="59">
        <f>1/20</f>
        <v>0.05</v>
      </c>
      <c r="G7" s="60">
        <f>Tolva</f>
        <v>38000</v>
      </c>
      <c r="H7" s="61">
        <f t="shared" si="0"/>
        <v>1900</v>
      </c>
      <c r="J7" s="75">
        <f t="shared" si="1"/>
        <v>0.75</v>
      </c>
      <c r="K7" s="67">
        <f t="shared" si="2"/>
        <v>28500</v>
      </c>
    </row>
    <row r="8" spans="1:17" ht="16">
      <c r="B8" s="56"/>
      <c r="C8" s="56" t="s">
        <v>54</v>
      </c>
      <c r="D8" s="57" t="s">
        <v>67</v>
      </c>
      <c r="E8" s="58" t="s">
        <v>70</v>
      </c>
      <c r="F8" s="59">
        <v>1.3</v>
      </c>
      <c r="G8" s="60">
        <v>15000</v>
      </c>
      <c r="H8" s="61">
        <f t="shared" si="0"/>
        <v>19500</v>
      </c>
      <c r="J8" s="75">
        <f t="shared" si="1"/>
        <v>19.5</v>
      </c>
      <c r="K8" s="67">
        <f t="shared" si="2"/>
        <v>292500</v>
      </c>
    </row>
    <row r="9" spans="1:17" ht="16">
      <c r="B9" s="62"/>
      <c r="C9" s="62"/>
      <c r="D9" s="63"/>
      <c r="E9" s="64" t="s">
        <v>422</v>
      </c>
      <c r="F9" s="120">
        <f>$F$4</f>
        <v>15</v>
      </c>
      <c r="G9" s="65">
        <f>SUM(H5:H8)</f>
        <v>25500</v>
      </c>
      <c r="H9" s="65">
        <f t="shared" ref="H9" si="3">ROUND(F9*G9,3)</f>
        <v>382500</v>
      </c>
      <c r="K9" s="76">
        <f>SUM(K5:K8)</f>
        <v>382500</v>
      </c>
    </row>
    <row r="11" spans="1:17">
      <c r="C11" s="66"/>
    </row>
  </sheetData>
  <dataValidations count="1">
    <dataValidation type="list" allowBlank="1" showErrorMessage="1" sqref="C9 C4" xr:uid="{39B51BA2-0E28-4207-8338-F7CE36821DCD}">
      <formula1>"Capítulo,Partida,Mano de obra,Maquinaria,Material,Otros,Tarea"</formula1>
    </dataValidation>
  </dataValidations>
  <hyperlinks>
    <hyperlink ref="B1" location="'01.- Presupuesto'!A1" display="02.- Presupuesto'!A1" xr:uid="{220718BE-E9D7-9D42-B35D-CF63FE4CAD19}"/>
  </hyperlinks>
  <pageMargins left="0.7" right="0.7" top="0.75" bottom="0.75" header="0.3" footer="0.3"/>
  <pageSetup orientation="portrait" horizontalDpi="0" verticalDpi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A73D-C468-43FC-9186-63457B44F388}">
  <sheetPr>
    <tabColor theme="9" tint="0.59999389629810485"/>
  </sheetPr>
  <dimension ref="A1:Q9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199</v>
      </c>
      <c r="C4" s="53" t="s">
        <v>36</v>
      </c>
      <c r="D4" s="148" t="str">
        <f>'01.- Presupuesto'!F99</f>
        <v>m</v>
      </c>
      <c r="E4" s="149" t="str">
        <f>'01.- Presupuesto'!C99</f>
        <v>Suministro e instalación PVC 110mm</v>
      </c>
      <c r="F4" s="73">
        <f>'01.- Presupuesto'!G99</f>
        <v>36</v>
      </c>
      <c r="G4" s="55">
        <f>G7</f>
        <v>19571.289000000001</v>
      </c>
      <c r="H4" s="55">
        <f>H7</f>
        <v>704566.40399999998</v>
      </c>
      <c r="J4" s="74" t="s">
        <v>30</v>
      </c>
      <c r="K4" s="74" t="s">
        <v>37</v>
      </c>
      <c r="M4" s="70">
        <f>SUMIF(C5:C19,"Material",K5:K19)</f>
        <v>92566.40400000001</v>
      </c>
      <c r="N4" s="70">
        <f>SUMIF(C5:C19,"Mano de Obra",K5:K19)</f>
        <v>0</v>
      </c>
      <c r="O4" s="70">
        <f>SUMIF(C5:C19,"Subcontrato",K5:K19)</f>
        <v>612000</v>
      </c>
      <c r="P4" s="70">
        <f>SUMIF(C5:C19,"Ser&amp;Arr",K5:K19)</f>
        <v>0</v>
      </c>
      <c r="Q4" s="71">
        <f>SUM(M4:P4)</f>
        <v>704566.40399999998</v>
      </c>
    </row>
    <row r="5" spans="1:17" ht="16">
      <c r="B5" s="56"/>
      <c r="C5" s="56" t="s">
        <v>38</v>
      </c>
      <c r="D5" s="57" t="s">
        <v>39</v>
      </c>
      <c r="E5" s="58" t="s">
        <v>536</v>
      </c>
      <c r="F5" s="59">
        <f>1.1*1/6</f>
        <v>0.18333333333333335</v>
      </c>
      <c r="G5" s="60">
        <f>16690/1.19</f>
        <v>14025.210084033613</v>
      </c>
      <c r="H5" s="61">
        <f t="shared" ref="H5:H6" si="0">ROUND(F5*G5,3)</f>
        <v>2571.2890000000002</v>
      </c>
      <c r="J5" s="75">
        <f>F5*$F$4</f>
        <v>6.6000000000000005</v>
      </c>
      <c r="K5" s="67">
        <f>H5*$F$4</f>
        <v>92566.40400000001</v>
      </c>
    </row>
    <row r="6" spans="1:17" ht="16">
      <c r="B6" s="56"/>
      <c r="C6" s="56" t="s">
        <v>94</v>
      </c>
      <c r="D6" s="57" t="s">
        <v>65</v>
      </c>
      <c r="E6" s="58" t="s">
        <v>538</v>
      </c>
      <c r="F6" s="59">
        <v>1</v>
      </c>
      <c r="G6" s="60">
        <f>SCSan</f>
        <v>17000</v>
      </c>
      <c r="H6" s="61">
        <f t="shared" si="0"/>
        <v>17000</v>
      </c>
      <c r="J6" s="75">
        <f t="shared" ref="J6" si="1">F6*$F$4</f>
        <v>36</v>
      </c>
      <c r="K6" s="67">
        <f t="shared" ref="K6" si="2">H6*$F$4</f>
        <v>612000</v>
      </c>
    </row>
    <row r="7" spans="1:17" ht="16">
      <c r="B7" s="62"/>
      <c r="C7" s="62"/>
      <c r="D7" s="63"/>
      <c r="E7" s="64" t="s">
        <v>539</v>
      </c>
      <c r="F7" s="120">
        <f>$F$4</f>
        <v>36</v>
      </c>
      <c r="G7" s="65">
        <f>SUM(H5:H6)</f>
        <v>19571.289000000001</v>
      </c>
      <c r="H7" s="65">
        <f t="shared" ref="H7" si="3">ROUND(F7*G7,3)</f>
        <v>704566.40399999998</v>
      </c>
      <c r="K7" s="76">
        <f>SUM(K5:K6)</f>
        <v>704566.40399999998</v>
      </c>
    </row>
    <row r="9" spans="1:17">
      <c r="C9" s="66"/>
    </row>
  </sheetData>
  <dataValidations count="1">
    <dataValidation type="list" allowBlank="1" showErrorMessage="1" sqref="C7 C4" xr:uid="{21F4B227-017A-45FC-B7CD-C5C7604D13C4}">
      <formula1>"Capítulo,Partida,Mano de obra,Maquinaria,Material,Otros,Tarea"</formula1>
    </dataValidation>
  </dataValidations>
  <hyperlinks>
    <hyperlink ref="B1" location="'01.- Presupuesto'!A1" display="02.- Presupuesto'!A1" xr:uid="{115B3017-E889-5244-9D8D-2EC370277E16}"/>
  </hyperlinks>
  <pageMargins left="0.7" right="0.7" top="0.75" bottom="0.75" header="0.3" footer="0.3"/>
  <pageSetup orientation="portrait" horizontalDpi="0" verticalDpi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7CD9-C2A0-4D8B-9D21-4FD591D3DD76}">
  <sheetPr>
    <tabColor theme="9" tint="0.59999389629810485"/>
  </sheetPr>
  <dimension ref="A1:Q9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200</v>
      </c>
      <c r="C4" s="53" t="s">
        <v>36</v>
      </c>
      <c r="D4" s="148" t="str">
        <f>'01.- Presupuesto'!F100</f>
        <v>un</v>
      </c>
      <c r="E4" s="149" t="str">
        <f>'01.- Presupuesto'!C100</f>
        <v>Suministro e instalación códo de PVC 110mm</v>
      </c>
      <c r="F4" s="73">
        <f>'01.- Presupuesto'!G100</f>
        <v>5</v>
      </c>
      <c r="G4" s="55">
        <f>G7</f>
        <v>2698.5059999999999</v>
      </c>
      <c r="H4" s="55">
        <f>H7</f>
        <v>13492.53</v>
      </c>
      <c r="J4" s="74" t="s">
        <v>30</v>
      </c>
      <c r="K4" s="74" t="s">
        <v>37</v>
      </c>
      <c r="M4" s="70">
        <f>SUMIF(C5:C19,"Material",K5:K19)</f>
        <v>1686.9749999999999</v>
      </c>
      <c r="N4" s="70">
        <f>SUMIF(C5:C19,"Mano de Obra",K5:K19)</f>
        <v>0</v>
      </c>
      <c r="O4" s="70">
        <f>SUMIF(C5:C19,"Subcontrato",K5:K19)</f>
        <v>11805.555</v>
      </c>
      <c r="P4" s="70">
        <f>SUMIF(C5:C19,"Ser&amp;Arr",K5:K19)</f>
        <v>0</v>
      </c>
      <c r="Q4" s="71">
        <f>SUM(M4:P4)</f>
        <v>13492.53</v>
      </c>
    </row>
    <row r="5" spans="1:17" ht="16">
      <c r="B5" s="56"/>
      <c r="C5" s="56" t="s">
        <v>38</v>
      </c>
      <c r="D5" s="57" t="s">
        <v>39</v>
      </c>
      <c r="E5" s="58" t="s">
        <v>542</v>
      </c>
      <c r="F5" s="59">
        <f>1.1*1/6</f>
        <v>0.18333333333333335</v>
      </c>
      <c r="G5" s="60">
        <f>2190/1.19</f>
        <v>1840.3361344537816</v>
      </c>
      <c r="H5" s="61">
        <f t="shared" ref="H5:H6" si="0">ROUND(F5*G5,3)</f>
        <v>337.39499999999998</v>
      </c>
      <c r="J5" s="75">
        <f>F5*$F$4</f>
        <v>0.91666666666666674</v>
      </c>
      <c r="K5" s="67">
        <f>H5*$F$4</f>
        <v>1686.9749999999999</v>
      </c>
    </row>
    <row r="6" spans="1:17" ht="16">
      <c r="B6" s="56"/>
      <c r="C6" s="56" t="s">
        <v>94</v>
      </c>
      <c r="D6" s="57" t="s">
        <v>65</v>
      </c>
      <c r="E6" s="58" t="s">
        <v>538</v>
      </c>
      <c r="F6" s="59">
        <f>F4/'13.5'!F4</f>
        <v>0.1388888888888889</v>
      </c>
      <c r="G6" s="60">
        <f>SCSan</f>
        <v>17000</v>
      </c>
      <c r="H6" s="61">
        <f t="shared" si="0"/>
        <v>2361.1109999999999</v>
      </c>
      <c r="J6" s="75">
        <f t="shared" ref="J6" si="1">F6*$F$4</f>
        <v>0.69444444444444442</v>
      </c>
      <c r="K6" s="67">
        <f t="shared" ref="K6" si="2">H6*$F$4</f>
        <v>11805.555</v>
      </c>
    </row>
    <row r="7" spans="1:17" ht="16">
      <c r="B7" s="62"/>
      <c r="C7" s="62"/>
      <c r="D7" s="63"/>
      <c r="E7" s="64" t="s">
        <v>540</v>
      </c>
      <c r="F7" s="120">
        <f>$F$4</f>
        <v>5</v>
      </c>
      <c r="G7" s="65">
        <f>SUM(H5:H6)</f>
        <v>2698.5059999999999</v>
      </c>
      <c r="H7" s="65">
        <f t="shared" ref="H7" si="3">ROUND(F7*G7,3)</f>
        <v>13492.53</v>
      </c>
      <c r="K7" s="76">
        <f>SUM(K5:K6)</f>
        <v>13492.53</v>
      </c>
    </row>
    <row r="9" spans="1:17">
      <c r="C9" s="66"/>
    </row>
  </sheetData>
  <dataValidations count="1">
    <dataValidation type="list" allowBlank="1" showErrorMessage="1" sqref="C7 C4" xr:uid="{00BF7D51-6FF7-4EBB-83E5-F8EE425D7890}">
      <formula1>"Capítulo,Partida,Mano de obra,Maquinaria,Material,Otros,Tarea"</formula1>
    </dataValidation>
  </dataValidations>
  <hyperlinks>
    <hyperlink ref="B1" location="'01.- Presupuesto'!A1" display="02.- Presupuesto'!A1" xr:uid="{93619B76-0864-4E4B-A0FC-2FF75EC08310}"/>
  </hyperlinks>
  <pageMargins left="0.7" right="0.7" top="0.75" bottom="0.75" header="0.3" footer="0.3"/>
  <pageSetup orientation="portrait" horizontalDpi="0" verticalDpi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3D95-4A96-4337-847D-62FA8364D40B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201</v>
      </c>
      <c r="C4" s="53" t="s">
        <v>36</v>
      </c>
      <c r="D4" s="148" t="str">
        <f>'01.- Presupuesto'!F101</f>
        <v>m2</v>
      </c>
      <c r="E4" s="149" t="str">
        <f>'01.- Presupuesto'!C101</f>
        <v>Suministro e instalación de Geotextil</v>
      </c>
      <c r="F4" s="73">
        <f>'01.- Presupuesto'!G101</f>
        <v>29</v>
      </c>
      <c r="G4" s="55">
        <f>G9</f>
        <v>1623.5329999999999</v>
      </c>
      <c r="H4" s="55">
        <f>H9</f>
        <v>47082.457000000002</v>
      </c>
      <c r="J4" s="74" t="s">
        <v>30</v>
      </c>
      <c r="K4" s="74" t="s">
        <v>37</v>
      </c>
      <c r="M4" s="70">
        <f>SUMIF(C5:C21,"Material",K5:K21)</f>
        <v>38280</v>
      </c>
      <c r="N4" s="70">
        <f>SUMIF(C5:C21,"Mano de Obra",K5:K21)</f>
        <v>7335.3760000000002</v>
      </c>
      <c r="O4" s="70">
        <f>SUMIF(C5:C21,"Subcontrato",K5:K21)</f>
        <v>0</v>
      </c>
      <c r="P4" s="70">
        <f>SUMIF(C5:C21,"Ser&amp;Arr",K5:K21)</f>
        <v>1467.0809999999999</v>
      </c>
      <c r="Q4" s="71">
        <f>SUM(M4:P4)</f>
        <v>47082.457000000002</v>
      </c>
    </row>
    <row r="5" spans="1:17" ht="16">
      <c r="B5" s="56"/>
      <c r="C5" s="56" t="s">
        <v>38</v>
      </c>
      <c r="D5" s="57" t="s">
        <v>39</v>
      </c>
      <c r="E5" s="58" t="s">
        <v>367</v>
      </c>
      <c r="F5" s="59">
        <f>1/(2*50)*1.1</f>
        <v>1.1000000000000001E-2</v>
      </c>
      <c r="G5" s="60">
        <v>120000</v>
      </c>
      <c r="H5" s="61">
        <f t="shared" ref="H5:H7" si="0">ROUND(F5*G5,3)</f>
        <v>1320</v>
      </c>
      <c r="J5" s="75">
        <f>F5*$F$4</f>
        <v>0.31900000000000001</v>
      </c>
      <c r="K5" s="67">
        <f>H5*$F$4</f>
        <v>38280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1/50</f>
        <v>0.02</v>
      </c>
      <c r="G6" s="60">
        <f>Maestro</f>
        <v>7250</v>
      </c>
      <c r="H6" s="61">
        <f t="shared" si="0"/>
        <v>145</v>
      </c>
      <c r="J6" s="75">
        <f t="shared" ref="J6:J8" si="1">F6*$F$4</f>
        <v>0.57999999999999996</v>
      </c>
      <c r="K6" s="67">
        <f t="shared" ref="K6:K8" si="2">H6*$F$4</f>
        <v>4205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1/50</f>
        <v>0.02</v>
      </c>
      <c r="G7" s="60">
        <f>Jornal</f>
        <v>5397.2222222222226</v>
      </c>
      <c r="H7" s="61">
        <f t="shared" si="0"/>
        <v>107.944</v>
      </c>
      <c r="J7" s="75">
        <f t="shared" si="1"/>
        <v>0.57999999999999996</v>
      </c>
      <c r="K7" s="67">
        <f t="shared" si="2"/>
        <v>3130.3760000000002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252.94400000000002</v>
      </c>
      <c r="H8" s="61">
        <f>ROUND(F8*G8,3)</f>
        <v>50.588999999999999</v>
      </c>
      <c r="J8" s="75">
        <f t="shared" si="1"/>
        <v>5.8000000000000007</v>
      </c>
      <c r="K8" s="67">
        <f t="shared" si="2"/>
        <v>1467.0809999999999</v>
      </c>
    </row>
    <row r="9" spans="1:17" ht="16">
      <c r="B9" s="62"/>
      <c r="C9" s="62"/>
      <c r="D9" s="63"/>
      <c r="E9" s="64" t="s">
        <v>423</v>
      </c>
      <c r="F9" s="120">
        <f>$F$4</f>
        <v>29</v>
      </c>
      <c r="G9" s="65">
        <f>SUM(H5:H8)</f>
        <v>1623.5329999999999</v>
      </c>
      <c r="H9" s="65">
        <f t="shared" ref="H9" si="3">ROUND(F9*G9,3)</f>
        <v>47082.457000000002</v>
      </c>
      <c r="K9" s="76">
        <f>SUM(K5:K8)</f>
        <v>47082.457000000002</v>
      </c>
    </row>
    <row r="11" spans="1:17">
      <c r="C11" s="66"/>
    </row>
  </sheetData>
  <dataValidations count="1">
    <dataValidation type="list" allowBlank="1" showErrorMessage="1" sqref="C9 C4" xr:uid="{17A5D31F-C6E1-4498-9759-414C8FC614F9}">
      <formula1>"Capítulo,Partida,Mano de obra,Maquinaria,Material,Otros,Tarea"</formula1>
    </dataValidation>
  </dataValidations>
  <hyperlinks>
    <hyperlink ref="B1" location="'01.- Presupuesto'!A1" display="02.- Presupuesto'!A1" xr:uid="{0EF40764-9A06-B44B-B3FD-60AFC3FE09FC}"/>
  </hyperlinks>
  <pageMargins left="0.7" right="0.7" top="0.75" bottom="0.75" header="0.3" footer="0.3"/>
  <pageSetup orientation="portrait" horizontalDpi="0" verticalDpi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FA5B-00C2-4028-B3CE-2DCCA9D72C17}">
  <sheetPr>
    <tabColor theme="9" tint="0.59999389629810485"/>
  </sheetPr>
  <dimension ref="A1:Q9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202</v>
      </c>
      <c r="C4" s="53" t="s">
        <v>36</v>
      </c>
      <c r="D4" s="148" t="str">
        <f>'01.- Presupuesto'!F102</f>
        <v>m</v>
      </c>
      <c r="E4" s="149" t="str">
        <f>'01.- Presupuesto'!C102</f>
        <v>Suministro e instalación PVC110 mm ranurado</v>
      </c>
      <c r="F4" s="73">
        <f>'01.- Presupuesto'!G102</f>
        <v>6</v>
      </c>
      <c r="G4" s="55">
        <f>G7</f>
        <v>20083.493999999999</v>
      </c>
      <c r="H4" s="55">
        <f>H7</f>
        <v>120500.96400000001</v>
      </c>
      <c r="J4" s="74" t="s">
        <v>30</v>
      </c>
      <c r="K4" s="74" t="s">
        <v>37</v>
      </c>
      <c r="M4" s="70">
        <f>SUMIF(C5:C19,"Material",K5:K19)</f>
        <v>18500.964</v>
      </c>
      <c r="N4" s="70">
        <f>SUMIF(C5:C19,"Mano de Obra",K5:K19)</f>
        <v>0</v>
      </c>
      <c r="O4" s="70">
        <f>SUMIF(C5:C19,"Subcontrato",K5:K19)</f>
        <v>102000</v>
      </c>
      <c r="P4" s="70">
        <f>SUMIF(C5:C19,"Ser&amp;Arr",K5:K19)</f>
        <v>0</v>
      </c>
      <c r="Q4" s="71">
        <f>SUM(M4:P4)</f>
        <v>120500.96400000001</v>
      </c>
    </row>
    <row r="5" spans="1:17" ht="16">
      <c r="B5" s="56"/>
      <c r="C5" s="56" t="s">
        <v>38</v>
      </c>
      <c r="D5" s="57" t="s">
        <v>39</v>
      </c>
      <c r="E5" s="58" t="s">
        <v>544</v>
      </c>
      <c r="F5" s="59">
        <f>1.1*1/50</f>
        <v>2.2000000000000002E-2</v>
      </c>
      <c r="G5" s="60">
        <f>166789/1.19</f>
        <v>140158.82352941178</v>
      </c>
      <c r="H5" s="61">
        <f t="shared" ref="H5:H6" si="0">ROUND(F5*G5,3)</f>
        <v>3083.4940000000001</v>
      </c>
      <c r="J5" s="75">
        <f>F5*$F$4</f>
        <v>0.13200000000000001</v>
      </c>
      <c r="K5" s="67">
        <f>H5*$F$4</f>
        <v>18500.964</v>
      </c>
    </row>
    <row r="6" spans="1:17" ht="16">
      <c r="B6" s="56"/>
      <c r="C6" s="56" t="s">
        <v>94</v>
      </c>
      <c r="D6" s="57" t="s">
        <v>65</v>
      </c>
      <c r="E6" s="58" t="s">
        <v>538</v>
      </c>
      <c r="F6" s="59">
        <v>1</v>
      </c>
      <c r="G6" s="60">
        <f>SCSan</f>
        <v>17000</v>
      </c>
      <c r="H6" s="61">
        <f t="shared" si="0"/>
        <v>17000</v>
      </c>
      <c r="J6" s="75">
        <f t="shared" ref="J6" si="1">F6*$F$4</f>
        <v>6</v>
      </c>
      <c r="K6" s="67">
        <f t="shared" ref="K6" si="2">H6*$F$4</f>
        <v>102000</v>
      </c>
    </row>
    <row r="7" spans="1:17" ht="16">
      <c r="B7" s="62"/>
      <c r="C7" s="62"/>
      <c r="D7" s="63"/>
      <c r="E7" s="64" t="s">
        <v>541</v>
      </c>
      <c r="F7" s="120">
        <f>$F$4</f>
        <v>6</v>
      </c>
      <c r="G7" s="65">
        <f>SUM(H5:H6)</f>
        <v>20083.493999999999</v>
      </c>
      <c r="H7" s="65">
        <f t="shared" ref="H7" si="3">ROUND(F7*G7,3)</f>
        <v>120500.96400000001</v>
      </c>
      <c r="K7" s="76">
        <f>SUM(K5:K6)</f>
        <v>120500.96400000001</v>
      </c>
    </row>
    <row r="9" spans="1:17">
      <c r="C9" s="66"/>
    </row>
  </sheetData>
  <dataValidations count="1">
    <dataValidation type="list" allowBlank="1" showErrorMessage="1" sqref="C7 C4" xr:uid="{07AD0ACE-B279-442B-B2EF-DA349422AE06}">
      <formula1>"Capítulo,Partida,Mano de obra,Maquinaria,Material,Otros,Tarea"</formula1>
    </dataValidation>
  </dataValidations>
  <hyperlinks>
    <hyperlink ref="B1" location="'01.- Presupuesto'!A1" display="02.- Presupuesto'!A1" xr:uid="{1EE6CA5B-C0A9-3B41-8730-C2F1703ACACE}"/>
  </hyperlinks>
  <pageMargins left="0.7" right="0.7" top="0.75" bottom="0.75" header="0.3" footer="0.3"/>
  <pageSetup orientation="portrait" horizontalDpi="0" verticalDpi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94A1-6310-44DB-9A99-C340886CAFC8}">
  <sheetPr>
    <tabColor theme="9" tint="0.59999389629810485"/>
  </sheetPr>
  <dimension ref="A1:Q15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205</v>
      </c>
      <c r="C4" s="53" t="s">
        <v>36</v>
      </c>
      <c r="D4" s="148" t="str">
        <f>'01.- Presupuesto'!F104</f>
        <v>m3</v>
      </c>
      <c r="E4" s="149" t="str">
        <f>'01.- Presupuesto'!C104</f>
        <v>Suministro e Instalación Hormigón G20(10)20-8</v>
      </c>
      <c r="F4" s="73">
        <f>'01.- Presupuesto'!G104</f>
        <v>2.94</v>
      </c>
      <c r="G4" s="55">
        <f>G13</f>
        <v>137616.83400000003</v>
      </c>
      <c r="H4" s="55">
        <f>H13</f>
        <v>404593.49200000003</v>
      </c>
      <c r="J4" s="74" t="s">
        <v>30</v>
      </c>
      <c r="K4" s="74" t="s">
        <v>37</v>
      </c>
      <c r="M4" s="70">
        <f>SUMIF(C5:C25,"Material",K5:K25)</f>
        <v>354018.95927999995</v>
      </c>
      <c r="N4" s="70">
        <f>SUMIF(C5:C25,"Mano de Obra",K5:K25)</f>
        <v>28262.111220000003</v>
      </c>
      <c r="O4" s="70">
        <f>SUMIF(C5:C25,"Subcontrato",K5:K25)</f>
        <v>0</v>
      </c>
      <c r="P4" s="70">
        <f>SUMIF(C5:C25,"Ser&amp;Arr",K5:K25)</f>
        <v>22312.421460000001</v>
      </c>
      <c r="Q4" s="71">
        <f>SUM(M4:P4)</f>
        <v>404593.49195999996</v>
      </c>
    </row>
    <row r="5" spans="1:17" ht="16">
      <c r="B5" s="56"/>
      <c r="C5" s="56" t="s">
        <v>38</v>
      </c>
      <c r="D5" s="57" t="s">
        <v>67</v>
      </c>
      <c r="E5" s="58" t="s">
        <v>382</v>
      </c>
      <c r="F5" s="59">
        <v>1.1000000000000001</v>
      </c>
      <c r="G5" s="60">
        <f>HormG20</f>
        <v>108376.92</v>
      </c>
      <c r="H5" s="61">
        <f t="shared" ref="H5:H8" si="0">ROUND(F5*G5,3)</f>
        <v>119214.61199999999</v>
      </c>
      <c r="J5" s="75">
        <f>F5*$F$4</f>
        <v>3.234</v>
      </c>
      <c r="K5" s="67">
        <f>H5*$F$4</f>
        <v>350490.95927999995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10" si="1">F6*$F$4</f>
        <v>0.29399999999999998</v>
      </c>
      <c r="K6" s="67">
        <f t="shared" ref="K6:K10" si="2">H6*$F$4</f>
        <v>3528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</f>
        <v>0.33333333333333331</v>
      </c>
      <c r="G7" s="60">
        <f>Maestro</f>
        <v>7250</v>
      </c>
      <c r="H7" s="61">
        <f t="shared" si="0"/>
        <v>2416.6669999999999</v>
      </c>
      <c r="J7" s="75">
        <f t="shared" si="1"/>
        <v>0.98</v>
      </c>
      <c r="K7" s="67">
        <f t="shared" si="2"/>
        <v>7105.0009799999998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</f>
        <v>1.3333333333333333</v>
      </c>
      <c r="G8" s="60">
        <f>Jornal</f>
        <v>5397.2222222222226</v>
      </c>
      <c r="H8" s="61">
        <f t="shared" si="0"/>
        <v>7196.2960000000003</v>
      </c>
      <c r="J8" s="75">
        <f t="shared" si="1"/>
        <v>3.92</v>
      </c>
      <c r="K8" s="67">
        <f t="shared" si="2"/>
        <v>21157.110240000002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9612.9629999999997</v>
      </c>
      <c r="H9" s="61">
        <f>ROUND(F9*G9,3)</f>
        <v>1922.5930000000001</v>
      </c>
      <c r="J9" s="75">
        <f t="shared" si="1"/>
        <v>0.58799999999999997</v>
      </c>
      <c r="K9" s="67">
        <f t="shared" si="2"/>
        <v>5652.4234200000001</v>
      </c>
    </row>
    <row r="10" spans="1:17" ht="16">
      <c r="B10" s="56"/>
      <c r="C10" s="56" t="s">
        <v>54</v>
      </c>
      <c r="D10" s="57" t="s">
        <v>71</v>
      </c>
      <c r="E10" s="58" t="s">
        <v>372</v>
      </c>
      <c r="F10" s="59">
        <f>1/3</f>
        <v>0.33333333333333331</v>
      </c>
      <c r="G10" s="60">
        <f>3500+3500</f>
        <v>7000</v>
      </c>
      <c r="H10" s="61">
        <f>ROUND(F10*G10,3)</f>
        <v>2333.3330000000001</v>
      </c>
      <c r="J10" s="75">
        <f t="shared" si="1"/>
        <v>0.98</v>
      </c>
      <c r="K10" s="67">
        <f t="shared" si="2"/>
        <v>6859.9990200000002</v>
      </c>
    </row>
    <row r="11" spans="1:17" ht="16">
      <c r="B11" s="56"/>
      <c r="C11" s="56" t="s">
        <v>54</v>
      </c>
      <c r="D11" s="57" t="s">
        <v>71</v>
      </c>
      <c r="E11" s="58" t="s">
        <v>373</v>
      </c>
      <c r="F11" s="59">
        <f>1/3</f>
        <v>0.33333333333333331</v>
      </c>
      <c r="G11" s="60">
        <f>3500+3500</f>
        <v>7000</v>
      </c>
      <c r="H11" s="61">
        <f>ROUND(F11*G11,3)</f>
        <v>2333.3330000000001</v>
      </c>
      <c r="J11" s="75">
        <f>F11*$F$4</f>
        <v>0.98</v>
      </c>
      <c r="K11" s="67">
        <f>H11*$F$4</f>
        <v>6859.9990200000002</v>
      </c>
    </row>
    <row r="12" spans="1:17" ht="16">
      <c r="B12" s="56"/>
      <c r="C12" s="56" t="s">
        <v>54</v>
      </c>
      <c r="D12" s="57" t="s">
        <v>76</v>
      </c>
      <c r="E12" s="58" t="s">
        <v>368</v>
      </c>
      <c r="F12" s="59">
        <f>1/50</f>
        <v>0.02</v>
      </c>
      <c r="G12" s="60">
        <v>50000</v>
      </c>
      <c r="H12" s="61">
        <f>ROUND(F12*G12,3)</f>
        <v>1000</v>
      </c>
      <c r="J12" s="75">
        <f>F12*$F$4</f>
        <v>5.8799999999999998E-2</v>
      </c>
      <c r="K12" s="67">
        <f>H12*$F$4</f>
        <v>2940</v>
      </c>
    </row>
    <row r="13" spans="1:17" ht="16">
      <c r="B13" s="62"/>
      <c r="C13" s="62"/>
      <c r="D13" s="63"/>
      <c r="E13" s="64" t="s">
        <v>424</v>
      </c>
      <c r="F13" s="120">
        <f>$F$4</f>
        <v>2.94</v>
      </c>
      <c r="G13" s="65">
        <f>SUM(H5:H12)</f>
        <v>137616.83400000003</v>
      </c>
      <c r="H13" s="65">
        <f t="shared" ref="H13" si="3">ROUND(F13*G13,3)</f>
        <v>404593.49200000003</v>
      </c>
      <c r="K13" s="76">
        <f>SUM(K5:K12)</f>
        <v>404593.49195999996</v>
      </c>
    </row>
    <row r="15" spans="1:17">
      <c r="C15" s="66"/>
    </row>
  </sheetData>
  <dataValidations count="1">
    <dataValidation type="list" allowBlank="1" showErrorMessage="1" sqref="C13 C4" xr:uid="{459D58DB-9CDE-4480-929C-D0065F35E115}">
      <formula1>"Capítulo,Partida,Mano de obra,Maquinaria,Material,Otros,Tarea"</formula1>
    </dataValidation>
  </dataValidations>
  <hyperlinks>
    <hyperlink ref="B1" location="'01.- Presupuesto'!A1" display="02.- Presupuesto'!A1" xr:uid="{E85BD816-DD6F-AA4B-82A0-C66ACE460D13}"/>
  </hyperlinks>
  <pageMargins left="0.7" right="0.7" top="0.75" bottom="0.75" header="0.3" footer="0.3"/>
  <pageSetup orientation="portrait" horizontalDpi="0" verticalDpi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6E14-6A89-42A0-8073-BBD1CAC5817D}">
  <sheetPr>
    <tabColor theme="9" tint="0.59999389629810485"/>
  </sheetPr>
  <dimension ref="A1:Q12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206</v>
      </c>
      <c r="C4" s="53" t="s">
        <v>36</v>
      </c>
      <c r="D4" s="148" t="str">
        <f>'01.- Presupuesto'!F105</f>
        <v>m3</v>
      </c>
      <c r="E4" s="149" t="str">
        <f>'01.- Presupuesto'!C105</f>
        <v>Suministro e instalación emplantillado hormigón G5</v>
      </c>
      <c r="F4" s="73">
        <f>'01.- Presupuesto'!G105</f>
        <v>0.25</v>
      </c>
      <c r="G4" s="55">
        <f>G10</f>
        <v>120719.806</v>
      </c>
      <c r="H4" s="55">
        <f>H10</f>
        <v>30179.952000000001</v>
      </c>
      <c r="J4" s="74" t="s">
        <v>30</v>
      </c>
      <c r="K4" s="74" t="s">
        <v>37</v>
      </c>
      <c r="M4" s="70">
        <f>SUMIF(C5:C22,"Material",K5:K22)</f>
        <v>27296.0625</v>
      </c>
      <c r="N4" s="70">
        <f>SUMIF(C5:C22,"Mano de Obra",K5:K22)</f>
        <v>2403.2407499999999</v>
      </c>
      <c r="O4" s="70">
        <f>SUMIF(C5:C22,"Subcontrato",K5:K22)</f>
        <v>0</v>
      </c>
      <c r="P4" s="70">
        <f>SUMIF(C5:C22,"Ser&amp;Arr",K5:K22)</f>
        <v>480.64825000000002</v>
      </c>
      <c r="Q4" s="71">
        <f>SUM(M4:P4)</f>
        <v>30179.951499999999</v>
      </c>
    </row>
    <row r="5" spans="1:17" ht="16">
      <c r="B5" s="56"/>
      <c r="C5" s="56" t="s">
        <v>38</v>
      </c>
      <c r="D5" s="57" t="s">
        <v>67</v>
      </c>
      <c r="E5" s="58" t="s">
        <v>383</v>
      </c>
      <c r="F5" s="59">
        <v>1.1000000000000001</v>
      </c>
      <c r="G5" s="60">
        <f>HormG5</f>
        <v>98167.5</v>
      </c>
      <c r="H5" s="61">
        <f t="shared" ref="H5:H8" si="0">ROUND(F5*G5,3)</f>
        <v>107984.25</v>
      </c>
      <c r="J5" s="75">
        <f>F5*$F$4</f>
        <v>0.27500000000000002</v>
      </c>
      <c r="K5" s="67">
        <f>H5*$F$4</f>
        <v>26996.0625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9" si="1">F6*$F$4</f>
        <v>2.5000000000000001E-2</v>
      </c>
      <c r="K6" s="67">
        <f t="shared" ref="K6:K9" si="2">H6*$F$4</f>
        <v>300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</f>
        <v>0.33333333333333331</v>
      </c>
      <c r="G7" s="60">
        <f>Maestro</f>
        <v>7250</v>
      </c>
      <c r="H7" s="61">
        <f t="shared" si="0"/>
        <v>2416.6669999999999</v>
      </c>
      <c r="J7" s="75">
        <f t="shared" si="1"/>
        <v>8.3333333333333329E-2</v>
      </c>
      <c r="K7" s="67">
        <f t="shared" si="2"/>
        <v>604.16674999999998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</f>
        <v>1.3333333333333333</v>
      </c>
      <c r="G8" s="60">
        <f>Jornal</f>
        <v>5397.2222222222226</v>
      </c>
      <c r="H8" s="61">
        <f t="shared" si="0"/>
        <v>7196.2960000000003</v>
      </c>
      <c r="J8" s="75">
        <f t="shared" si="1"/>
        <v>0.33333333333333331</v>
      </c>
      <c r="K8" s="67">
        <f t="shared" si="2"/>
        <v>1799.0740000000001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9612.9629999999997</v>
      </c>
      <c r="H9" s="61">
        <f>ROUND(F9*G9,3)</f>
        <v>1922.5930000000001</v>
      </c>
      <c r="J9" s="75">
        <f t="shared" si="1"/>
        <v>0.05</v>
      </c>
      <c r="K9" s="67">
        <f t="shared" si="2"/>
        <v>480.64825000000002</v>
      </c>
    </row>
    <row r="10" spans="1:17" ht="16">
      <c r="B10" s="62"/>
      <c r="C10" s="62"/>
      <c r="D10" s="63"/>
      <c r="E10" s="64" t="s">
        <v>425</v>
      </c>
      <c r="F10" s="120">
        <f>$F$4</f>
        <v>0.25</v>
      </c>
      <c r="G10" s="65">
        <f>SUM(H5:H9)</f>
        <v>120719.806</v>
      </c>
      <c r="H10" s="65">
        <f t="shared" ref="H10" si="3">ROUND(F10*G10,3)</f>
        <v>30179.952000000001</v>
      </c>
      <c r="K10" s="76">
        <f>SUM(K5:K9)</f>
        <v>30179.951499999999</v>
      </c>
    </row>
    <row r="12" spans="1:17">
      <c r="C12" s="66"/>
    </row>
  </sheetData>
  <dataValidations count="1">
    <dataValidation type="list" allowBlank="1" showErrorMessage="1" sqref="C10 C4" xr:uid="{4A9B056D-058D-490C-A9AC-F2384D367527}">
      <formula1>"Capítulo,Partida,Mano de obra,Maquinaria,Material,Otros,Tarea"</formula1>
    </dataValidation>
  </dataValidations>
  <hyperlinks>
    <hyperlink ref="B1" location="'01.- Presupuesto'!A1" display="02.- Presupuesto'!A1" xr:uid="{CAED04C9-B06E-D04B-8A8E-5E412B545357}"/>
  </hyperlinks>
  <pageMargins left="0.7" right="0.7" top="0.75" bottom="0.75" header="0.3" footer="0.3"/>
  <pageSetup orientation="portrait" horizontalDpi="0" verticalDpi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1855-94DC-430F-8697-90E6A386AEA1}">
  <sheetPr>
    <tabColor theme="9" tint="0.59999389629810485"/>
  </sheetPr>
  <dimension ref="A1:Q15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207</v>
      </c>
      <c r="C4" s="53" t="s">
        <v>36</v>
      </c>
      <c r="D4" s="148" t="str">
        <f>'01.- Presupuesto'!F106</f>
        <v>m3</v>
      </c>
      <c r="E4" s="149" t="str">
        <f>'01.- Presupuesto'!C106</f>
        <v>Suministro e Instalación relleno estructural compactado al 95% DMSC</v>
      </c>
      <c r="F4" s="73">
        <f>'01.- Presupuesto'!G106</f>
        <v>7.865000000000002</v>
      </c>
      <c r="G4" s="55">
        <f>G13</f>
        <v>82558.192999999999</v>
      </c>
      <c r="H4" s="55">
        <f>H13</f>
        <v>649320.18799999997</v>
      </c>
      <c r="J4" s="74" t="s">
        <v>30</v>
      </c>
      <c r="K4" s="74" t="s">
        <v>37</v>
      </c>
      <c r="M4" s="70">
        <f>SUMIF(C5:C25,"Material",K5:K25)</f>
        <v>204490.00000000006</v>
      </c>
      <c r="N4" s="70">
        <f>SUMIF(C5:C25,"Mano de Obra",K5:K25)</f>
        <v>11340.889560000003</v>
      </c>
      <c r="O4" s="70">
        <f>SUMIF(C5:C25,"Subcontrato",K5:K25)</f>
        <v>0</v>
      </c>
      <c r="P4" s="70">
        <f>SUMIF(C5:C25,"Ser&amp;Arr",K5:K25)</f>
        <v>433489.29838500009</v>
      </c>
      <c r="Q4" s="71">
        <f>SUM(M4:P4)</f>
        <v>649320.18794500013</v>
      </c>
    </row>
    <row r="5" spans="1:17" ht="16">
      <c r="B5" s="56"/>
      <c r="C5" s="56" t="s">
        <v>38</v>
      </c>
      <c r="D5" s="57" t="s">
        <v>67</v>
      </c>
      <c r="E5" s="58" t="s">
        <v>362</v>
      </c>
      <c r="F5" s="59">
        <v>1.3</v>
      </c>
      <c r="G5" s="60">
        <f>Base50</f>
        <v>20000</v>
      </c>
      <c r="H5" s="61">
        <f t="shared" ref="H5:H12" si="0">ROUND(F5*G5,3)</f>
        <v>26000</v>
      </c>
      <c r="J5" s="75">
        <f>F5*$F$4</f>
        <v>10.224500000000003</v>
      </c>
      <c r="K5" s="67">
        <f>H5*$F$4</f>
        <v>204490.00000000006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1/20</f>
        <v>0.05</v>
      </c>
      <c r="G6" s="60">
        <f>Maestro</f>
        <v>7250</v>
      </c>
      <c r="H6" s="61">
        <f t="shared" si="0"/>
        <v>362.5</v>
      </c>
      <c r="J6" s="75">
        <f t="shared" ref="J6:J10" si="1">F6*$F$4</f>
        <v>0.3932500000000001</v>
      </c>
      <c r="K6" s="67">
        <f t="shared" ref="K6:K10" si="2">H6*$F$4</f>
        <v>2851.0625000000009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4*1/20</f>
        <v>0.2</v>
      </c>
      <c r="G7" s="60">
        <f>Jornal</f>
        <v>5397.2222222222226</v>
      </c>
      <c r="H7" s="61">
        <f t="shared" si="0"/>
        <v>1079.444</v>
      </c>
      <c r="J7" s="75">
        <f t="shared" si="1"/>
        <v>1.5730000000000004</v>
      </c>
      <c r="K7" s="67">
        <f t="shared" si="2"/>
        <v>8489.8270600000014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1441.944</v>
      </c>
      <c r="H8" s="61">
        <f>ROUND(F8*G8,3)</f>
        <v>288.38900000000001</v>
      </c>
      <c r="J8" s="75">
        <f t="shared" si="1"/>
        <v>1.5730000000000004</v>
      </c>
      <c r="K8" s="67">
        <f t="shared" si="2"/>
        <v>2268.1794850000006</v>
      </c>
    </row>
    <row r="9" spans="1:17" ht="16">
      <c r="B9" s="56"/>
      <c r="C9" s="56" t="s">
        <v>54</v>
      </c>
      <c r="D9" s="57" t="s">
        <v>348</v>
      </c>
      <c r="E9" s="58" t="s">
        <v>350</v>
      </c>
      <c r="F9" s="59">
        <f>1/20</f>
        <v>0.05</v>
      </c>
      <c r="G9" s="60">
        <f>Retroexcavadora</f>
        <v>32000</v>
      </c>
      <c r="H9" s="61">
        <f t="shared" si="0"/>
        <v>1600</v>
      </c>
      <c r="J9" s="75">
        <f t="shared" si="1"/>
        <v>0.3932500000000001</v>
      </c>
      <c r="K9" s="67">
        <f t="shared" si="2"/>
        <v>12584.000000000004</v>
      </c>
    </row>
    <row r="10" spans="1:17" ht="16">
      <c r="B10" s="56"/>
      <c r="C10" s="56" t="s">
        <v>54</v>
      </c>
      <c r="D10" s="57" t="s">
        <v>71</v>
      </c>
      <c r="E10" s="58" t="s">
        <v>385</v>
      </c>
      <c r="F10" s="59">
        <f>1/20/8</f>
        <v>6.2500000000000003E-3</v>
      </c>
      <c r="G10" s="60">
        <v>25000</v>
      </c>
      <c r="H10" s="61">
        <f t="shared" si="0"/>
        <v>156.25</v>
      </c>
      <c r="J10" s="75">
        <f t="shared" si="1"/>
        <v>4.9156250000000012E-2</v>
      </c>
      <c r="K10" s="67">
        <f t="shared" si="2"/>
        <v>1228.9062500000002</v>
      </c>
    </row>
    <row r="11" spans="1:17" ht="16">
      <c r="B11" s="56"/>
      <c r="C11" s="56" t="s">
        <v>54</v>
      </c>
      <c r="D11" s="57" t="s">
        <v>76</v>
      </c>
      <c r="E11" s="58" t="s">
        <v>358</v>
      </c>
      <c r="F11" s="59">
        <f>1/F4</f>
        <v>0.12714558169103621</v>
      </c>
      <c r="G11" s="60">
        <f>(0.6+4.4)*UF</f>
        <v>196335</v>
      </c>
      <c r="H11" s="61">
        <f t="shared" si="0"/>
        <v>24963.128000000001</v>
      </c>
      <c r="J11" s="75">
        <f>F11*$F$4</f>
        <v>1</v>
      </c>
      <c r="K11" s="67">
        <f>H11*$F$4</f>
        <v>196335.00172000006</v>
      </c>
    </row>
    <row r="12" spans="1:17" ht="16">
      <c r="B12" s="56"/>
      <c r="C12" s="56" t="s">
        <v>54</v>
      </c>
      <c r="D12" s="57" t="s">
        <v>76</v>
      </c>
      <c r="E12" s="58" t="s">
        <v>386</v>
      </c>
      <c r="F12" s="59">
        <f>3/F4</f>
        <v>0.3814367450731086</v>
      </c>
      <c r="G12" s="60">
        <f>(0.41+4.4/3)*UF</f>
        <v>73691.070000000007</v>
      </c>
      <c r="H12" s="61">
        <f t="shared" si="0"/>
        <v>28108.482</v>
      </c>
      <c r="J12" s="75">
        <f>F12*$F$4</f>
        <v>3</v>
      </c>
      <c r="K12" s="67">
        <f>H12*$F$4</f>
        <v>221073.21093000006</v>
      </c>
    </row>
    <row r="13" spans="1:17" ht="16">
      <c r="B13" s="62"/>
      <c r="C13" s="62"/>
      <c r="D13" s="63"/>
      <c r="E13" s="64" t="s">
        <v>426</v>
      </c>
      <c r="F13" s="120">
        <f>$F$4</f>
        <v>7.865000000000002</v>
      </c>
      <c r="G13" s="65">
        <f>SUM(H5:H12)</f>
        <v>82558.192999999999</v>
      </c>
      <c r="H13" s="65">
        <f t="shared" ref="H13" si="3">ROUND(F13*G13,3)</f>
        <v>649320.18799999997</v>
      </c>
      <c r="K13" s="76">
        <f>SUM(K5:K12)</f>
        <v>649320.18794500013</v>
      </c>
    </row>
    <row r="15" spans="1:17">
      <c r="C15" s="66"/>
    </row>
  </sheetData>
  <dataValidations count="1">
    <dataValidation type="list" allowBlank="1" showErrorMessage="1" sqref="C13 C4" xr:uid="{A2E5AEC4-E636-49DE-8168-506F0102DFE5}">
      <formula1>"Capítulo,Partida,Mano de obra,Maquinaria,Material,Otros,Tarea"</formula1>
    </dataValidation>
  </dataValidations>
  <hyperlinks>
    <hyperlink ref="B1" location="'01.- Presupuesto'!A1" display="02.- Presupuesto'!A1" xr:uid="{C647DD50-8388-1543-8933-B3290BF5CCD1}"/>
  </hyperlinks>
  <pageMargins left="0.7" right="0.7" top="0.75" bottom="0.75" header="0.3" footer="0.3"/>
  <pageSetup orientation="portrait" horizontalDpi="0" verticalDpi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6D6A-CCE9-4DCA-AC9A-F3C2A5B5860E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208</v>
      </c>
      <c r="C4" s="53" t="s">
        <v>36</v>
      </c>
      <c r="D4" s="148" t="str">
        <f>'01.- Presupuesto'!F107</f>
        <v>m3</v>
      </c>
      <c r="E4" s="149" t="str">
        <f>'01.- Presupuesto'!C107</f>
        <v>Excavación maquinaría local y traslado a botadero, hasta 20 Km</v>
      </c>
      <c r="F4" s="73">
        <f>'01.- Presupuesto'!G107</f>
        <v>12.705000000000004</v>
      </c>
      <c r="G4" s="55">
        <f>G9</f>
        <v>25500</v>
      </c>
      <c r="H4" s="55">
        <f>H9</f>
        <v>323977.5</v>
      </c>
      <c r="J4" s="74" t="s">
        <v>30</v>
      </c>
      <c r="K4" s="74" t="s">
        <v>37</v>
      </c>
      <c r="M4" s="70">
        <f>SUMIF(C5:C21,"Material",K5:K21)</f>
        <v>0</v>
      </c>
      <c r="N4" s="70">
        <f>SUMIF(C5:C21,"Mano de Obra",K5:K21)</f>
        <v>0</v>
      </c>
      <c r="O4" s="70">
        <f>SUMIF(C5:C21,"Subcontrato",K5:K21)</f>
        <v>0</v>
      </c>
      <c r="P4" s="70">
        <f>SUMIF(C5:C21,"Ser&amp;Arr",K5:K21)</f>
        <v>323977.50000000012</v>
      </c>
      <c r="Q4" s="71">
        <f>SUM(M4:P4)</f>
        <v>323977.50000000012</v>
      </c>
    </row>
    <row r="5" spans="1:17" ht="16">
      <c r="B5" s="56"/>
      <c r="C5" s="56" t="s">
        <v>54</v>
      </c>
      <c r="D5" s="57" t="s">
        <v>348</v>
      </c>
      <c r="E5" s="58" t="s">
        <v>353</v>
      </c>
      <c r="F5" s="59">
        <f>1/20</f>
        <v>0.05</v>
      </c>
      <c r="G5" s="60">
        <f>Excavadora</f>
        <v>50000</v>
      </c>
      <c r="H5" s="61">
        <f t="shared" ref="H5:H8" si="0">ROUND(F5*G5,3)</f>
        <v>2500</v>
      </c>
      <c r="J5" s="75">
        <f>F5*$F$4</f>
        <v>0.6352500000000002</v>
      </c>
      <c r="K5" s="67">
        <f>H5*$F$4</f>
        <v>31762.500000000007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8" si="1">F6*$F$4</f>
        <v>0.6352500000000002</v>
      </c>
      <c r="K6" s="67">
        <f t="shared" ref="K6:K8" si="2">H6*$F$4</f>
        <v>20328.000000000007</v>
      </c>
    </row>
    <row r="7" spans="1:17" ht="16">
      <c r="B7" s="56"/>
      <c r="C7" s="56" t="s">
        <v>54</v>
      </c>
      <c r="D7" s="57" t="s">
        <v>348</v>
      </c>
      <c r="E7" s="58" t="s">
        <v>349</v>
      </c>
      <c r="F7" s="59">
        <f>1/20</f>
        <v>0.05</v>
      </c>
      <c r="G7" s="60">
        <f>Tolva</f>
        <v>38000</v>
      </c>
      <c r="H7" s="61">
        <f t="shared" si="0"/>
        <v>1900</v>
      </c>
      <c r="J7" s="75">
        <f t="shared" si="1"/>
        <v>0.6352500000000002</v>
      </c>
      <c r="K7" s="67">
        <f t="shared" si="2"/>
        <v>24139.500000000007</v>
      </c>
    </row>
    <row r="8" spans="1:17" ht="16">
      <c r="B8" s="56"/>
      <c r="C8" s="56" t="s">
        <v>54</v>
      </c>
      <c r="D8" s="57" t="s">
        <v>67</v>
      </c>
      <c r="E8" s="58" t="s">
        <v>70</v>
      </c>
      <c r="F8" s="59">
        <v>1.3</v>
      </c>
      <c r="G8" s="60">
        <v>15000</v>
      </c>
      <c r="H8" s="61">
        <f t="shared" si="0"/>
        <v>19500</v>
      </c>
      <c r="J8" s="75">
        <f t="shared" si="1"/>
        <v>16.516500000000004</v>
      </c>
      <c r="K8" s="67">
        <f t="shared" si="2"/>
        <v>247747.50000000006</v>
      </c>
    </row>
    <row r="9" spans="1:17" ht="16">
      <c r="B9" s="62"/>
      <c r="C9" s="62"/>
      <c r="D9" s="63"/>
      <c r="E9" s="64" t="s">
        <v>427</v>
      </c>
      <c r="F9" s="120">
        <f>$F$4</f>
        <v>12.705000000000004</v>
      </c>
      <c r="G9" s="65">
        <f>SUM(H5:H8)</f>
        <v>25500</v>
      </c>
      <c r="H9" s="65">
        <f t="shared" ref="H9" si="3">ROUND(F9*G9,3)</f>
        <v>323977.5</v>
      </c>
      <c r="K9" s="76">
        <f>SUM(K5:K8)</f>
        <v>323977.50000000012</v>
      </c>
    </row>
    <row r="11" spans="1:17">
      <c r="C11" s="66"/>
    </row>
  </sheetData>
  <dataValidations count="1">
    <dataValidation type="list" allowBlank="1" showErrorMessage="1" sqref="C9 C4" xr:uid="{5D6E5EAE-8CB3-4169-B948-6A1C795039E1}">
      <formula1>"Capítulo,Partida,Mano de obra,Maquinaria,Material,Otros,Tarea"</formula1>
    </dataValidation>
  </dataValidations>
  <hyperlinks>
    <hyperlink ref="B1" location="'01.- Presupuesto'!A1" display="02.- Presupuesto'!A1" xr:uid="{506729C0-B327-5347-80EC-BAEE8196EEF4}"/>
  </hyperlinks>
  <pageMargins left="0.7" right="0.7" top="0.75" bottom="0.75" header="0.3" footer="0.3"/>
  <pageSetup orientation="portrait" horizontalDpi="0" verticalDpi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0803A-0B9E-4D93-BF6A-88BAE47E412C}">
  <sheetPr>
    <tabColor theme="9" tint="0.59999389629810485"/>
  </sheetPr>
  <dimension ref="A1:Q14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209</v>
      </c>
      <c r="C4" s="53" t="s">
        <v>36</v>
      </c>
      <c r="D4" s="148" t="str">
        <f>'01.- Presupuesto'!F108</f>
        <v>m2</v>
      </c>
      <c r="E4" s="149" t="str">
        <f>'01.- Presupuesto'!C108</f>
        <v>Suministro y construcción moldajes de madera o metálicos</v>
      </c>
      <c r="F4" s="73">
        <f>'01.- Presupuesto'!G108</f>
        <v>17</v>
      </c>
      <c r="G4" s="55">
        <f>G12</f>
        <v>16475.795999999998</v>
      </c>
      <c r="H4" s="55">
        <f>H12</f>
        <v>280088.53200000001</v>
      </c>
      <c r="J4" s="74" t="s">
        <v>30</v>
      </c>
      <c r="K4" s="74" t="s">
        <v>37</v>
      </c>
      <c r="M4" s="70">
        <f>SUMIF(C5:C24,"Material",K5:K24)</f>
        <v>201208.53200000001</v>
      </c>
      <c r="N4" s="70">
        <f>SUMIF(C5:C24,"Mano de Obra",K5:K24)</f>
        <v>65733.339000000007</v>
      </c>
      <c r="O4" s="70">
        <f>SUMIF(C5:C24,"Subcontrato",K5:K24)</f>
        <v>0</v>
      </c>
      <c r="P4" s="70">
        <f>SUMIF(C5:C24,"Ser&amp;Arr",K5:K24)</f>
        <v>13146.661</v>
      </c>
      <c r="Q4" s="71">
        <f>SUM(M4:P4)</f>
        <v>280088.53200000006</v>
      </c>
    </row>
    <row r="5" spans="1:17" ht="16">
      <c r="B5" s="56"/>
      <c r="C5" s="56" t="s">
        <v>38</v>
      </c>
      <c r="D5" s="57" t="s">
        <v>39</v>
      </c>
      <c r="E5" s="58" t="s">
        <v>390</v>
      </c>
      <c r="F5" s="59">
        <f>1/0.48</f>
        <v>2.0833333333333335</v>
      </c>
      <c r="G5" s="60">
        <v>2400</v>
      </c>
      <c r="H5" s="61">
        <f t="shared" ref="H5:H10" si="0">ROUND(F5*G5,3)</f>
        <v>5000</v>
      </c>
      <c r="J5" s="75">
        <f>F5*$F$4</f>
        <v>35.416666666666671</v>
      </c>
      <c r="K5" s="67">
        <f>H5*$F$4</f>
        <v>85000</v>
      </c>
    </row>
    <row r="6" spans="1:17" ht="16">
      <c r="B6" s="56"/>
      <c r="C6" s="56" t="s">
        <v>38</v>
      </c>
      <c r="D6" s="57" t="s">
        <v>39</v>
      </c>
      <c r="E6" s="58" t="s">
        <v>391</v>
      </c>
      <c r="F6" s="59">
        <f>1.05*1/(1.22*2.44)</f>
        <v>0.35272776135447464</v>
      </c>
      <c r="G6" s="60">
        <v>16966</v>
      </c>
      <c r="H6" s="61">
        <f t="shared" si="0"/>
        <v>5984.3789999999999</v>
      </c>
      <c r="J6" s="75">
        <f t="shared" ref="J6:J10" si="1">F6*$F$4</f>
        <v>5.9963719430260687</v>
      </c>
      <c r="K6" s="67">
        <f t="shared" ref="K6:K10" si="2">H6*$F$4</f>
        <v>101734.443</v>
      </c>
    </row>
    <row r="7" spans="1:17" ht="16">
      <c r="B7" s="56"/>
      <c r="C7" s="56" t="s">
        <v>38</v>
      </c>
      <c r="D7" s="57" t="s">
        <v>75</v>
      </c>
      <c r="E7" s="58" t="s">
        <v>392</v>
      </c>
      <c r="F7" s="59">
        <f>1/4</f>
        <v>0.25</v>
      </c>
      <c r="G7" s="60">
        <v>1184</v>
      </c>
      <c r="H7" s="61">
        <f t="shared" si="0"/>
        <v>296</v>
      </c>
      <c r="J7" s="75">
        <f t="shared" si="1"/>
        <v>4.25</v>
      </c>
      <c r="K7" s="67">
        <f t="shared" si="2"/>
        <v>5032</v>
      </c>
    </row>
    <row r="8" spans="1:17" ht="16">
      <c r="B8" s="56"/>
      <c r="C8" s="56" t="s">
        <v>38</v>
      </c>
      <c r="D8" s="57" t="s">
        <v>39</v>
      </c>
      <c r="E8" s="58" t="s">
        <v>393</v>
      </c>
      <c r="F8" s="59">
        <f>1/72</f>
        <v>1.3888888888888888E-2</v>
      </c>
      <c r="G8" s="60">
        <v>39990</v>
      </c>
      <c r="H8" s="61">
        <f t="shared" si="0"/>
        <v>555.41700000000003</v>
      </c>
      <c r="J8" s="75">
        <f t="shared" si="1"/>
        <v>0.2361111111111111</v>
      </c>
      <c r="K8" s="67">
        <f t="shared" si="2"/>
        <v>9442.0889999999999</v>
      </c>
    </row>
    <row r="9" spans="1:17" ht="16">
      <c r="B9" s="56"/>
      <c r="C9" s="56" t="s">
        <v>40</v>
      </c>
      <c r="D9" s="57" t="s">
        <v>41</v>
      </c>
      <c r="E9" s="58" t="s">
        <v>90</v>
      </c>
      <c r="F9" s="59">
        <f>0.3</f>
        <v>0.3</v>
      </c>
      <c r="G9" s="60">
        <f>Maestro</f>
        <v>7250</v>
      </c>
      <c r="H9" s="61">
        <f t="shared" si="0"/>
        <v>2175</v>
      </c>
      <c r="J9" s="75">
        <f t="shared" si="1"/>
        <v>5.0999999999999996</v>
      </c>
      <c r="K9" s="67">
        <f t="shared" si="2"/>
        <v>36975</v>
      </c>
    </row>
    <row r="10" spans="1:17" ht="16">
      <c r="B10" s="56"/>
      <c r="C10" s="56" t="s">
        <v>40</v>
      </c>
      <c r="D10" s="57" t="s">
        <v>41</v>
      </c>
      <c r="E10" s="58" t="s">
        <v>91</v>
      </c>
      <c r="F10" s="59">
        <f>0.3</f>
        <v>0.3</v>
      </c>
      <c r="G10" s="60">
        <f>Ayudante</f>
        <v>5638.8888888888887</v>
      </c>
      <c r="H10" s="61">
        <f t="shared" si="0"/>
        <v>1691.6669999999999</v>
      </c>
      <c r="J10" s="75">
        <f t="shared" si="1"/>
        <v>5.0999999999999996</v>
      </c>
      <c r="K10" s="67">
        <f t="shared" si="2"/>
        <v>28758.339</v>
      </c>
    </row>
    <row r="11" spans="1:17" ht="16">
      <c r="B11" s="56"/>
      <c r="C11" s="56" t="s">
        <v>54</v>
      </c>
      <c r="D11" s="57" t="s">
        <v>42</v>
      </c>
      <c r="E11" s="58" t="s">
        <v>55</v>
      </c>
      <c r="F11" s="59">
        <v>0.2</v>
      </c>
      <c r="G11" s="60">
        <f>SUM(H9:H10)</f>
        <v>3866.6669999999999</v>
      </c>
      <c r="H11" s="61">
        <f>ROUND(F11*G11,3)</f>
        <v>773.33299999999997</v>
      </c>
      <c r="J11" s="75">
        <f>F11*$F$4</f>
        <v>3.4000000000000004</v>
      </c>
      <c r="K11" s="67">
        <f>H11*$F$4</f>
        <v>13146.661</v>
      </c>
    </row>
    <row r="12" spans="1:17" ht="16">
      <c r="B12" s="62"/>
      <c r="C12" s="62"/>
      <c r="D12" s="63"/>
      <c r="E12" s="64" t="s">
        <v>428</v>
      </c>
      <c r="F12" s="120">
        <f>$F$4</f>
        <v>17</v>
      </c>
      <c r="G12" s="65">
        <f>SUM(H5:H11)</f>
        <v>16475.795999999998</v>
      </c>
      <c r="H12" s="65">
        <f t="shared" ref="H12" si="3">ROUND(F12*G12,3)</f>
        <v>280088.53200000001</v>
      </c>
      <c r="K12" s="76">
        <f>SUM(K5:K11)</f>
        <v>280088.53200000001</v>
      </c>
    </row>
    <row r="14" spans="1:17">
      <c r="C14" s="66"/>
    </row>
  </sheetData>
  <dataValidations count="1">
    <dataValidation type="list" allowBlank="1" showErrorMessage="1" sqref="C12 C4" xr:uid="{D3B1A513-E533-487A-8278-F6C1F4083FA4}">
      <formula1>"Capítulo,Partida,Mano de obra,Maquinaria,Material,Otros,Tarea"</formula1>
    </dataValidation>
  </dataValidations>
  <hyperlinks>
    <hyperlink ref="B1" location="'01.- Presupuesto'!A1" display="02.- Presupuesto'!A1" xr:uid="{B730EC88-8C48-D344-88BD-EDD878B30928}"/>
  </hyperlinks>
  <pageMargins left="0.7" right="0.7" top="0.75" bottom="0.75" header="0.3" footer="0.3"/>
  <pageSetup orientation="portrait" horizontalDpi="0" verticalDpi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15D6-BB63-45CF-A554-F2E5F1FA2229}">
  <sheetPr>
    <tabColor theme="9" tint="0.59999389629810485"/>
  </sheetPr>
  <dimension ref="A1:Q10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210</v>
      </c>
      <c r="C4" s="53" t="s">
        <v>36</v>
      </c>
      <c r="D4" s="148" t="str">
        <f>'01.- Presupuesto'!F109</f>
        <v>kg</v>
      </c>
      <c r="E4" s="149" t="str">
        <f>'01.- Presupuesto'!C109</f>
        <v>Suministro e instalación armadura A630-420H, diámetro 12mm</v>
      </c>
      <c r="F4" s="73">
        <f>'01.- Presupuesto'!G109</f>
        <v>150</v>
      </c>
      <c r="G4" s="55">
        <f>G8</f>
        <v>1644.3330000000001</v>
      </c>
      <c r="H4" s="55">
        <f>H8</f>
        <v>246649.95</v>
      </c>
      <c r="J4" s="74" t="s">
        <v>30</v>
      </c>
      <c r="K4" s="74" t="s">
        <v>37</v>
      </c>
      <c r="M4" s="70">
        <f>SUMIF(C5:C20,"Material",K5:K20)</f>
        <v>156649.95000000001</v>
      </c>
      <c r="N4" s="70">
        <f>SUMIF(C5:C20,"Mano de Obra",K5:K20)</f>
        <v>0</v>
      </c>
      <c r="O4" s="70">
        <f>SUMIF(C5:C20,"Subcontrato",K5:K20)</f>
        <v>90000</v>
      </c>
      <c r="P4" s="70">
        <f>SUMIF(C5:C20,"Ser&amp;Arr",K5:K20)</f>
        <v>0</v>
      </c>
      <c r="Q4" s="71">
        <f>SUM(M4:P4)</f>
        <v>246649.95</v>
      </c>
    </row>
    <row r="5" spans="1:17" ht="16">
      <c r="B5" s="56"/>
      <c r="C5" s="56" t="s">
        <v>38</v>
      </c>
      <c r="D5" s="57" t="s">
        <v>396</v>
      </c>
      <c r="E5" s="58" t="s">
        <v>395</v>
      </c>
      <c r="F5" s="59">
        <v>1.1000000000000001</v>
      </c>
      <c r="G5" s="60">
        <v>900</v>
      </c>
      <c r="H5" s="61">
        <f t="shared" ref="H5:H7" si="0">ROUND(F5*G5,3)</f>
        <v>990</v>
      </c>
      <c r="J5" s="75">
        <f>F5*$F$4</f>
        <v>165</v>
      </c>
      <c r="K5" s="67">
        <f>H5*$F$4</f>
        <v>148500</v>
      </c>
    </row>
    <row r="6" spans="1:17" ht="16">
      <c r="B6" s="56"/>
      <c r="C6" s="56" t="s">
        <v>38</v>
      </c>
      <c r="D6" s="57" t="s">
        <v>396</v>
      </c>
      <c r="E6" s="58" t="s">
        <v>397</v>
      </c>
      <c r="F6" s="59">
        <f>1/30</f>
        <v>3.3333333333333333E-2</v>
      </c>
      <c r="G6" s="60">
        <v>1630</v>
      </c>
      <c r="H6" s="61">
        <f t="shared" si="0"/>
        <v>54.332999999999998</v>
      </c>
      <c r="J6" s="75">
        <f t="shared" ref="J6:J7" si="1">F6*$F$4</f>
        <v>5</v>
      </c>
      <c r="K6" s="67">
        <f t="shared" ref="K6:K7" si="2">H6*$F$4</f>
        <v>8149.95</v>
      </c>
    </row>
    <row r="7" spans="1:17" ht="16">
      <c r="B7" s="56"/>
      <c r="C7" s="56" t="s">
        <v>94</v>
      </c>
      <c r="D7" s="57" t="s">
        <v>396</v>
      </c>
      <c r="E7" s="58" t="s">
        <v>482</v>
      </c>
      <c r="F7" s="59">
        <v>1</v>
      </c>
      <c r="G7" s="60">
        <f>Enf</f>
        <v>600</v>
      </c>
      <c r="H7" s="61">
        <f t="shared" si="0"/>
        <v>600</v>
      </c>
      <c r="J7" s="75">
        <f t="shared" si="1"/>
        <v>150</v>
      </c>
      <c r="K7" s="67">
        <f t="shared" si="2"/>
        <v>90000</v>
      </c>
    </row>
    <row r="8" spans="1:17" ht="16">
      <c r="B8" s="62"/>
      <c r="C8" s="62"/>
      <c r="D8" s="63"/>
      <c r="E8" s="64" t="s">
        <v>429</v>
      </c>
      <c r="F8" s="120">
        <f>$F$4</f>
        <v>150</v>
      </c>
      <c r="G8" s="65">
        <f>SUM(H5:H7)</f>
        <v>1644.3330000000001</v>
      </c>
      <c r="H8" s="65">
        <f t="shared" ref="H8" si="3">ROUND(F8*G8,3)</f>
        <v>246649.95</v>
      </c>
      <c r="K8" s="76">
        <f>SUM(K5:K7)</f>
        <v>246649.95</v>
      </c>
    </row>
    <row r="10" spans="1:17">
      <c r="C10" s="66"/>
    </row>
  </sheetData>
  <dataValidations count="1">
    <dataValidation type="list" allowBlank="1" showErrorMessage="1" sqref="C8 C4" xr:uid="{C4B8E81F-BF33-4BD1-BBCB-09A22F787FFC}">
      <formula1>"Capítulo,Partida,Mano de obra,Maquinaria,Material,Otros,Tarea"</formula1>
    </dataValidation>
  </dataValidations>
  <hyperlinks>
    <hyperlink ref="B1" location="'01.- Presupuesto'!A1" display="02.- Presupuesto'!A1" xr:uid="{E204B595-39D5-E940-BACB-D899035AADE3}"/>
  </hyperlinks>
  <pageMargins left="0.7" right="0.7" top="0.75" bottom="0.75" header="0.3" footer="0.3"/>
  <pageSetup orientation="portrait" horizontalDpi="0" verticalDpi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1904-26C8-4B34-8A61-24368820A9A1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211</v>
      </c>
      <c r="C4" s="53" t="s">
        <v>36</v>
      </c>
      <c r="D4" s="148" t="str">
        <f>'01.- Presupuesto'!F110</f>
        <v>un</v>
      </c>
      <c r="E4" s="149" t="str">
        <f>'01.- Presupuesto'!C110</f>
        <v>Suministro e instalación de pernos de anclaje químico</v>
      </c>
      <c r="F4" s="73">
        <f>'01.- Presupuesto'!G110</f>
        <v>10</v>
      </c>
      <c r="G4" s="55">
        <f>G9</f>
        <v>11342.214</v>
      </c>
      <c r="H4" s="55">
        <f>H9</f>
        <v>113422.14</v>
      </c>
      <c r="J4" s="74" t="s">
        <v>30</v>
      </c>
      <c r="K4" s="74" t="s">
        <v>37</v>
      </c>
      <c r="M4" s="70">
        <f>SUMIF(C5:C21,"Material",K5:K21)</f>
        <v>98922.14</v>
      </c>
      <c r="N4" s="70">
        <f>SUMIF(C5:C21,"Mano de Obra",K5:K21)</f>
        <v>12083.330000000002</v>
      </c>
      <c r="O4" s="70">
        <f>SUMIF(C5:C21,"Subcontrato",K5:K21)</f>
        <v>0</v>
      </c>
      <c r="P4" s="70">
        <f>SUMIF(C5:C21,"Ser&amp;Arr",K5:K21)</f>
        <v>2416.67</v>
      </c>
      <c r="Q4" s="71">
        <f>SUM(M4:P4)</f>
        <v>113422.14</v>
      </c>
    </row>
    <row r="5" spans="1:17" ht="16">
      <c r="B5" s="56"/>
      <c r="C5" s="56" t="s">
        <v>38</v>
      </c>
      <c r="D5" s="57" t="s">
        <v>39</v>
      </c>
      <c r="E5" s="58" t="s">
        <v>435</v>
      </c>
      <c r="F5" s="59">
        <v>1</v>
      </c>
      <c r="G5" s="60">
        <v>9600</v>
      </c>
      <c r="H5" s="61">
        <f t="shared" ref="H5:H7" si="0">ROUND(F5*G5,3)</f>
        <v>9600</v>
      </c>
      <c r="J5" s="75">
        <f>F5*$F$4</f>
        <v>10</v>
      </c>
      <c r="K5" s="67">
        <f>H5*$F$4</f>
        <v>96000</v>
      </c>
    </row>
    <row r="6" spans="1:17" ht="16">
      <c r="B6" s="56"/>
      <c r="C6" s="56" t="s">
        <v>38</v>
      </c>
      <c r="D6" s="57" t="s">
        <v>39</v>
      </c>
      <c r="E6" s="58" t="s">
        <v>433</v>
      </c>
      <c r="F6" s="59">
        <f>1.1*1/49</f>
        <v>2.2448979591836737E-2</v>
      </c>
      <c r="G6" s="60">
        <f>15490/1.19</f>
        <v>13016.806722689076</v>
      </c>
      <c r="H6" s="61">
        <f t="shared" si="0"/>
        <v>292.214</v>
      </c>
      <c r="J6" s="75">
        <f t="shared" ref="J6:J8" si="1">F6*$F$4</f>
        <v>0.22448979591836737</v>
      </c>
      <c r="K6" s="67">
        <f t="shared" ref="K6:K8" si="2">H6*$F$4</f>
        <v>2922.14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1/6</f>
        <v>0.16666666666666666</v>
      </c>
      <c r="G7" s="60">
        <f>Maestro</f>
        <v>7250</v>
      </c>
      <c r="H7" s="61">
        <f t="shared" si="0"/>
        <v>1208.3330000000001</v>
      </c>
      <c r="J7" s="75">
        <f t="shared" si="1"/>
        <v>1.6666666666666665</v>
      </c>
      <c r="K7" s="67">
        <f t="shared" si="2"/>
        <v>12083.330000000002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SUM(H7:H7)</f>
        <v>1208.3330000000001</v>
      </c>
      <c r="H8" s="61">
        <f>ROUND(F8*G8,3)</f>
        <v>241.667</v>
      </c>
      <c r="J8" s="75">
        <f t="shared" si="1"/>
        <v>2</v>
      </c>
      <c r="K8" s="67">
        <f t="shared" si="2"/>
        <v>2416.67</v>
      </c>
    </row>
    <row r="9" spans="1:17" ht="16">
      <c r="B9" s="62"/>
      <c r="C9" s="62"/>
      <c r="D9" s="63"/>
      <c r="E9" s="64" t="s">
        <v>439</v>
      </c>
      <c r="F9" s="120">
        <f>$F$4</f>
        <v>10</v>
      </c>
      <c r="G9" s="65">
        <f>SUM(H5:H8)</f>
        <v>11342.214</v>
      </c>
      <c r="H9" s="65">
        <f t="shared" ref="H9" si="3">ROUND(F9*G9,3)</f>
        <v>113422.14</v>
      </c>
      <c r="K9" s="76">
        <f>SUM(K5:K8)</f>
        <v>113422.14</v>
      </c>
    </row>
    <row r="11" spans="1:17">
      <c r="C11" s="66"/>
    </row>
  </sheetData>
  <dataValidations count="1">
    <dataValidation type="list" allowBlank="1" showErrorMessage="1" sqref="C9 C4" xr:uid="{43F7A20A-9795-45FB-B296-0A38BA12695A}">
      <formula1>"Capítulo,Partida,Mano de obra,Maquinaria,Material,Otros,Tarea"</formula1>
    </dataValidation>
  </dataValidations>
  <hyperlinks>
    <hyperlink ref="B1" location="'01.- Presupuesto'!A1" display="02.- Presupuesto'!A1" xr:uid="{3A4991D6-2C00-6848-A775-1503D7031331}"/>
  </hyperlinks>
  <pageMargins left="0.7" right="0.7" top="0.75" bottom="0.75" header="0.3" footer="0.3"/>
  <pageSetup orientation="portrait" horizontalDpi="0" verticalDpi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AEBB-12AB-4733-8B5A-241DA06C811C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212</v>
      </c>
      <c r="C4" s="53" t="s">
        <v>36</v>
      </c>
      <c r="D4" s="148" t="str">
        <f>'01.- Presupuesto'!F111</f>
        <v>un</v>
      </c>
      <c r="E4" s="149" t="str">
        <f>'01.- Presupuesto'!C111</f>
        <v>Suministro e Instalación L100x100x6 L=100mm</v>
      </c>
      <c r="F4" s="73">
        <f>'01.- Presupuesto'!G111</f>
        <v>10</v>
      </c>
      <c r="G4" s="55">
        <f>G9</f>
        <v>26751.252999999997</v>
      </c>
      <c r="H4" s="55">
        <f>H9</f>
        <v>267512.53000000003</v>
      </c>
      <c r="J4" s="74" t="s">
        <v>30</v>
      </c>
      <c r="K4" s="74" t="s">
        <v>37</v>
      </c>
      <c r="M4" s="70">
        <f>SUMIF(C5:C21,"Material",K5:K21)</f>
        <v>121667.53</v>
      </c>
      <c r="N4" s="70">
        <f>SUMIF(C5:C21,"Mano de Obra",K5:K21)</f>
        <v>0</v>
      </c>
      <c r="O4" s="70">
        <f>SUMIF(C5:C21,"Subcontrato",K5:K21)</f>
        <v>145845</v>
      </c>
      <c r="P4" s="70">
        <f>SUMIF(C5:C21,"Ser&amp;Arr",K5:K21)</f>
        <v>0</v>
      </c>
      <c r="Q4" s="71">
        <f>SUM(M4:P4)</f>
        <v>267512.53000000003</v>
      </c>
    </row>
    <row r="5" spans="1:17" ht="16">
      <c r="B5" s="56"/>
      <c r="C5" s="56" t="s">
        <v>38</v>
      </c>
      <c r="D5" s="57" t="s">
        <v>39</v>
      </c>
      <c r="E5" s="58" t="s">
        <v>489</v>
      </c>
      <c r="F5" s="59">
        <f>1.05*(1/6)</f>
        <v>0.17499999999999999</v>
      </c>
      <c r="G5" s="60">
        <f>71990/1.19</f>
        <v>60495.798319327732</v>
      </c>
      <c r="H5" s="61">
        <f t="shared" ref="H5:H8" si="0">ROUND(F5*G5,3)</f>
        <v>10586.764999999999</v>
      </c>
      <c r="J5" s="75">
        <f>F5*$F$4</f>
        <v>1.75</v>
      </c>
      <c r="K5" s="67">
        <f>H5*$F$4</f>
        <v>105867.65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f>F8*0.03</f>
        <v>0.29168999999999995</v>
      </c>
      <c r="G6" s="60">
        <v>2000</v>
      </c>
      <c r="H6" s="61">
        <f t="shared" si="0"/>
        <v>583.38</v>
      </c>
      <c r="J6" s="75">
        <f t="shared" ref="J6:J8" si="1">F6*$F$4</f>
        <v>2.9168999999999996</v>
      </c>
      <c r="K6" s="67">
        <f t="shared" ref="K6:K8" si="2">H6*$F$4</f>
        <v>5833.8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f>F8*0.025</f>
        <v>0.24307499999999999</v>
      </c>
      <c r="G7" s="60">
        <v>4100</v>
      </c>
      <c r="H7" s="61">
        <f t="shared" si="0"/>
        <v>996.60799999999995</v>
      </c>
      <c r="J7" s="75">
        <f t="shared" si="1"/>
        <v>2.4307499999999997</v>
      </c>
      <c r="K7" s="67">
        <f t="shared" si="2"/>
        <v>9966.08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f>55.56*F5</f>
        <v>9.722999999999999</v>
      </c>
      <c r="G8" s="60">
        <f>Met</f>
        <v>1500</v>
      </c>
      <c r="H8" s="61">
        <f t="shared" si="0"/>
        <v>14584.5</v>
      </c>
      <c r="J8" s="75">
        <f t="shared" si="1"/>
        <v>97.22999999999999</v>
      </c>
      <c r="K8" s="67">
        <f t="shared" si="2"/>
        <v>145845</v>
      </c>
    </row>
    <row r="9" spans="1:17" ht="16">
      <c r="B9" s="62"/>
      <c r="C9" s="62"/>
      <c r="D9" s="63"/>
      <c r="E9" s="64" t="s">
        <v>490</v>
      </c>
      <c r="F9" s="120">
        <f>$F$4</f>
        <v>10</v>
      </c>
      <c r="G9" s="65">
        <f>SUM(H5:H8)</f>
        <v>26751.252999999997</v>
      </c>
      <c r="H9" s="65">
        <f t="shared" ref="H9" si="3">ROUND(F9*G9,3)</f>
        <v>267512.53000000003</v>
      </c>
      <c r="K9" s="76">
        <f>SUM(K5:K8)</f>
        <v>267512.53000000003</v>
      </c>
    </row>
    <row r="11" spans="1:17">
      <c r="C11" s="66"/>
    </row>
  </sheetData>
  <dataValidations count="1">
    <dataValidation type="list" allowBlank="1" showErrorMessage="1" sqref="C9 C4" xr:uid="{AA2351EA-9F3E-4292-9C41-B96C6C07B41D}">
      <formula1>"Capítulo,Partida,Mano de obra,Maquinaria,Material,Otros,Tarea"</formula1>
    </dataValidation>
  </dataValidations>
  <hyperlinks>
    <hyperlink ref="B1" location="'01.- Presupuesto'!A1" display="02.- Presupuesto'!A1" xr:uid="{35515E07-7FD5-4442-9782-5E4E1DA8624B}"/>
  </hyperlinks>
  <pageMargins left="0.7" right="0.7" top="0.75" bottom="0.75" header="0.3" footer="0.3"/>
  <pageSetup orientation="portrait" horizontalDpi="0" verticalDpi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61AD-9607-43C2-A264-4AF8C903F32D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226</v>
      </c>
      <c r="C4" s="53" t="s">
        <v>36</v>
      </c>
      <c r="D4" s="148" t="str">
        <f>'01.- Presupuesto'!F115</f>
        <v>kg</v>
      </c>
      <c r="E4" s="149" t="str">
        <f>'01.- Presupuesto'!C115</f>
        <v>Suministro y construcción de soporte con perfiles, metálicos galvanizados</v>
      </c>
      <c r="F4" s="73">
        <f>'01.- Presupuesto'!G115</f>
        <v>845.25</v>
      </c>
      <c r="G4" s="55">
        <f>G9</f>
        <v>3647.7939999999999</v>
      </c>
      <c r="H4" s="55">
        <f>H9</f>
        <v>3083297.8790000002</v>
      </c>
      <c r="J4" s="74" t="s">
        <v>30</v>
      </c>
      <c r="K4" s="74" t="s">
        <v>37</v>
      </c>
      <c r="M4" s="70">
        <f>SUMIF(C5:C21,"Material",K5:K21)</f>
        <v>1815422.8785000001</v>
      </c>
      <c r="N4" s="70">
        <f>SUMIF(C5:C21,"Mano de Obra",K5:K21)</f>
        <v>0</v>
      </c>
      <c r="O4" s="70">
        <f>SUMIF(C5:C21,"Subcontrato",K5:K21)</f>
        <v>1267875</v>
      </c>
      <c r="P4" s="70">
        <f>SUMIF(C5:C21,"Ser&amp;Arr",K5:K21)</f>
        <v>0</v>
      </c>
      <c r="Q4" s="71">
        <f>SUM(M4:P4)</f>
        <v>3083297.8785000001</v>
      </c>
    </row>
    <row r="5" spans="1:17" ht="16">
      <c r="B5" s="56"/>
      <c r="C5" s="56" t="s">
        <v>38</v>
      </c>
      <c r="D5" s="57" t="s">
        <v>75</v>
      </c>
      <c r="E5" s="58" t="s">
        <v>458</v>
      </c>
      <c r="F5" s="59">
        <f>1.05</f>
        <v>1.05</v>
      </c>
      <c r="G5" s="60">
        <f>2250/1.19</f>
        <v>1890.7563025210086</v>
      </c>
      <c r="H5" s="61">
        <f t="shared" ref="H5:H8" si="0">ROUND(F5*G5,3)</f>
        <v>1985.2940000000001</v>
      </c>
      <c r="J5" s="75">
        <f>F5*$F$4</f>
        <v>887.51250000000005</v>
      </c>
      <c r="K5" s="67">
        <f>H5*$F$4</f>
        <v>1678069.7535000001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v>0.03</v>
      </c>
      <c r="G6" s="60">
        <v>2000</v>
      </c>
      <c r="H6" s="61">
        <f t="shared" si="0"/>
        <v>60</v>
      </c>
      <c r="J6" s="75">
        <f t="shared" ref="J6:J8" si="1">F6*$F$4</f>
        <v>25.357499999999998</v>
      </c>
      <c r="K6" s="67">
        <f t="shared" ref="K6:K8" si="2">H6*$F$4</f>
        <v>50715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v>2.5000000000000001E-2</v>
      </c>
      <c r="G7" s="60">
        <v>4100</v>
      </c>
      <c r="H7" s="61">
        <f t="shared" si="0"/>
        <v>102.5</v>
      </c>
      <c r="J7" s="75">
        <f t="shared" si="1"/>
        <v>21.131250000000001</v>
      </c>
      <c r="K7" s="67">
        <f t="shared" si="2"/>
        <v>86638.125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v>1</v>
      </c>
      <c r="G8" s="60">
        <f>Met</f>
        <v>1500</v>
      </c>
      <c r="H8" s="61">
        <f t="shared" si="0"/>
        <v>1500</v>
      </c>
      <c r="J8" s="75">
        <f t="shared" si="1"/>
        <v>845.25</v>
      </c>
      <c r="K8" s="67">
        <f t="shared" si="2"/>
        <v>1267875</v>
      </c>
    </row>
    <row r="9" spans="1:17" ht="16">
      <c r="B9" s="62"/>
      <c r="C9" s="62"/>
      <c r="D9" s="63"/>
      <c r="E9" s="64" t="s">
        <v>461</v>
      </c>
      <c r="F9" s="120">
        <f>$F$4</f>
        <v>845.25</v>
      </c>
      <c r="G9" s="65">
        <f>SUM(H5:H8)</f>
        <v>3647.7939999999999</v>
      </c>
      <c r="H9" s="65">
        <f t="shared" ref="H9" si="3">ROUND(F9*G9,3)</f>
        <v>3083297.8790000002</v>
      </c>
      <c r="K9" s="76">
        <f>SUM(K5:K8)</f>
        <v>3083297.8785000001</v>
      </c>
    </row>
    <row r="11" spans="1:17">
      <c r="C11" s="66"/>
    </row>
  </sheetData>
  <dataValidations count="1">
    <dataValidation type="list" allowBlank="1" showErrorMessage="1" sqref="C9 C4" xr:uid="{AE6B9DEC-BB12-4BAF-A4A8-595D61E8C5D8}">
      <formula1>"Capítulo,Partida,Mano de obra,Maquinaria,Material,Otros,Tarea"</formula1>
    </dataValidation>
  </dataValidations>
  <hyperlinks>
    <hyperlink ref="B1" location="'01.- Presupuesto'!A1" display="02.- Presupuesto'!A1" xr:uid="{638DE419-2C71-8640-9B9C-F0C5F8B5CDAE}"/>
  </hyperlinks>
  <pageMargins left="0.7" right="0.7" top="0.75" bottom="0.75" header="0.3" footer="0.3"/>
  <pageSetup orientation="portrait" horizontalDpi="0" verticalDpi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88EC-E376-4A8B-B5B5-2B3236FA4B6B}">
  <sheetPr>
    <tabColor theme="9" tint="0.59999389629810485"/>
  </sheetPr>
  <dimension ref="A1:Q12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227</v>
      </c>
      <c r="C4" s="53" t="s">
        <v>36</v>
      </c>
      <c r="D4" s="148" t="str">
        <f>'01.- Presupuesto'!F117</f>
        <v>un</v>
      </c>
      <c r="E4" s="149" t="str">
        <f>'01.- Presupuesto'!C117</f>
        <v>Sala eléctrica, suministro e instalación contenedor metálico 40 ft.</v>
      </c>
      <c r="F4" s="73">
        <f>'01.- Presupuesto'!G117</f>
        <v>1</v>
      </c>
      <c r="G4" s="55">
        <f>G10</f>
        <v>3693306.6669999999</v>
      </c>
      <c r="H4" s="55">
        <f>H10</f>
        <v>3693306.6669999999</v>
      </c>
      <c r="J4" s="74" t="s">
        <v>30</v>
      </c>
      <c r="K4" s="74" t="s">
        <v>37</v>
      </c>
      <c r="M4" s="70">
        <f>SUMIF(C5:C22,"Material",K5:K22)</f>
        <v>3650000</v>
      </c>
      <c r="N4" s="70">
        <f>SUMIF(C5:C22,"Mano de Obra",K5:K22)</f>
        <v>36088.888999999996</v>
      </c>
      <c r="O4" s="70">
        <f>SUMIF(C5:C22,"Subcontrato",K5:K22)</f>
        <v>0</v>
      </c>
      <c r="P4" s="70">
        <f>SUMIF(C5:C22,"Ser&amp;Arr",K5:K22)</f>
        <v>7217.7780000000002</v>
      </c>
      <c r="Q4" s="71">
        <f>SUM(M4:P4)</f>
        <v>3693306.6669999999</v>
      </c>
    </row>
    <row r="5" spans="1:17" ht="16">
      <c r="B5" s="56"/>
      <c r="C5" s="56" t="s">
        <v>38</v>
      </c>
      <c r="D5" s="57" t="s">
        <v>39</v>
      </c>
      <c r="E5" s="58" t="s">
        <v>570</v>
      </c>
      <c r="F5" s="59">
        <v>1</v>
      </c>
      <c r="G5" s="60">
        <v>3500000</v>
      </c>
      <c r="H5" s="61">
        <f t="shared" ref="H5:H10" si="0">ROUND(F5*G5,3)</f>
        <v>3500000</v>
      </c>
      <c r="J5" s="75">
        <f>F5*$F$4</f>
        <v>1</v>
      </c>
      <c r="K5" s="67">
        <f>H5*$F$4</f>
        <v>3500000</v>
      </c>
    </row>
    <row r="6" spans="1:17" ht="16">
      <c r="B6" s="56"/>
      <c r="C6" s="56" t="s">
        <v>38</v>
      </c>
      <c r="D6" s="57" t="s">
        <v>39</v>
      </c>
      <c r="E6" s="58" t="s">
        <v>571</v>
      </c>
      <c r="F6" s="59">
        <v>1</v>
      </c>
      <c r="G6" s="60">
        <v>150000</v>
      </c>
      <c r="H6" s="61">
        <f t="shared" si="0"/>
        <v>150000</v>
      </c>
      <c r="J6" s="75">
        <f t="shared" ref="J6:J8" si="1">F6*$F$4</f>
        <v>1</v>
      </c>
      <c r="K6" s="67">
        <f t="shared" ref="K6:K8" si="2">H6*$F$4</f>
        <v>150000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v>2</v>
      </c>
      <c r="G7" s="60">
        <f>Maestro</f>
        <v>7250</v>
      </c>
      <c r="H7" s="61">
        <f t="shared" si="0"/>
        <v>14500</v>
      </c>
      <c r="J7" s="75">
        <f t="shared" si="1"/>
        <v>2</v>
      </c>
      <c r="K7" s="67">
        <f t="shared" si="2"/>
        <v>14500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v>4</v>
      </c>
      <c r="G8" s="60">
        <f>Jornal</f>
        <v>5397.2222222222226</v>
      </c>
      <c r="H8" s="61">
        <f t="shared" si="0"/>
        <v>21588.888999999999</v>
      </c>
      <c r="J8" s="75">
        <f t="shared" si="1"/>
        <v>4</v>
      </c>
      <c r="K8" s="67">
        <f t="shared" si="2"/>
        <v>21588.888999999999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36088.888999999996</v>
      </c>
      <c r="H9" s="61">
        <f>ROUND(F9*G9,3)</f>
        <v>7217.7780000000002</v>
      </c>
      <c r="J9" s="75">
        <f>F9*$F$4</f>
        <v>0.2</v>
      </c>
      <c r="K9" s="67">
        <f>H9*$F$4</f>
        <v>7217.7780000000002</v>
      </c>
    </row>
    <row r="10" spans="1:17" ht="16">
      <c r="B10" s="62"/>
      <c r="C10" s="62"/>
      <c r="D10" s="63"/>
      <c r="E10" s="64" t="s">
        <v>572</v>
      </c>
      <c r="F10" s="120">
        <f>$F$4</f>
        <v>1</v>
      </c>
      <c r="G10" s="65">
        <f>SUM(H5:H9)</f>
        <v>3693306.6669999999</v>
      </c>
      <c r="H10" s="65">
        <f t="shared" si="0"/>
        <v>3693306.6669999999</v>
      </c>
      <c r="K10" s="76">
        <f>SUM(K5:K9)</f>
        <v>3693306.6669999999</v>
      </c>
    </row>
    <row r="12" spans="1:17">
      <c r="C12" s="66"/>
    </row>
  </sheetData>
  <dataValidations count="1">
    <dataValidation type="list" allowBlank="1" showErrorMessage="1" sqref="C10 C4" xr:uid="{0D4EA30E-3CF7-4088-85E5-C7A1DE2EF734}">
      <formula1>"Capítulo,Partida,Mano de obra,Maquinaria,Material,Otros,Tarea"</formula1>
    </dataValidation>
  </dataValidations>
  <hyperlinks>
    <hyperlink ref="B1" location="'01.- Presupuesto'!A1" display="02.- Presupuesto'!A1" xr:uid="{24A4EAB8-894A-5649-8EA4-E68B2450E5CA}"/>
  </hyperlinks>
  <pageMargins left="0.7" right="0.7" top="0.75" bottom="0.75" header="0.3" footer="0.3"/>
  <pageSetup orientation="portrait" horizontalDpi="0" verticalDpi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3972-804B-4C43-9253-B1AA897C9AEF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228</v>
      </c>
      <c r="C4" s="53" t="s">
        <v>36</v>
      </c>
      <c r="D4" s="148" t="str">
        <f>'01.- Presupuesto'!F119</f>
        <v>kg</v>
      </c>
      <c r="E4" s="149" t="str">
        <f>'01.- Presupuesto'!C119</f>
        <v>Suministro e instalación perfiles cuadrado 100x100x6nn metálicos galvanizados</v>
      </c>
      <c r="F4" s="73">
        <f>'01.- Presupuesto'!G119</f>
        <v>935</v>
      </c>
      <c r="G4" s="55">
        <f>G9</f>
        <v>3647.7939999999999</v>
      </c>
      <c r="H4" s="55">
        <f>H9</f>
        <v>3410687.39</v>
      </c>
      <c r="J4" s="74" t="s">
        <v>30</v>
      </c>
      <c r="K4" s="74" t="s">
        <v>37</v>
      </c>
      <c r="M4" s="70">
        <f>SUMIF(C5:C21,"Material",K5:K21)</f>
        <v>2008187.3900000001</v>
      </c>
      <c r="N4" s="70">
        <f>SUMIF(C5:C21,"Mano de Obra",K5:K21)</f>
        <v>0</v>
      </c>
      <c r="O4" s="70">
        <f>SUMIF(C5:C21,"Subcontrato",K5:K21)</f>
        <v>1402500</v>
      </c>
      <c r="P4" s="70">
        <f>SUMIF(C5:C21,"Ser&amp;Arr",K5:K21)</f>
        <v>0</v>
      </c>
      <c r="Q4" s="71">
        <f>SUM(M4:P4)</f>
        <v>3410687.39</v>
      </c>
    </row>
    <row r="5" spans="1:17" ht="16">
      <c r="B5" s="56"/>
      <c r="C5" s="56" t="s">
        <v>38</v>
      </c>
      <c r="D5" s="57" t="s">
        <v>75</v>
      </c>
      <c r="E5" s="58" t="s">
        <v>458</v>
      </c>
      <c r="F5" s="59">
        <f>1.05</f>
        <v>1.05</v>
      </c>
      <c r="G5" s="60">
        <f>2250/1.19</f>
        <v>1890.7563025210086</v>
      </c>
      <c r="H5" s="61">
        <f t="shared" ref="H5:H8" si="0">ROUND(F5*G5,3)</f>
        <v>1985.2940000000001</v>
      </c>
      <c r="J5" s="75">
        <f>F5*$F$4</f>
        <v>981.75</v>
      </c>
      <c r="K5" s="67">
        <f>H5*$F$4</f>
        <v>1856249.8900000001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v>0.03</v>
      </c>
      <c r="G6" s="60">
        <v>2000</v>
      </c>
      <c r="H6" s="61">
        <f t="shared" si="0"/>
        <v>60</v>
      </c>
      <c r="J6" s="75">
        <f t="shared" ref="J6:J8" si="1">F6*$F$4</f>
        <v>28.05</v>
      </c>
      <c r="K6" s="67">
        <f t="shared" ref="K6:K8" si="2">H6*$F$4</f>
        <v>56100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v>2.5000000000000001E-2</v>
      </c>
      <c r="G7" s="60">
        <v>4100</v>
      </c>
      <c r="H7" s="61">
        <f t="shared" si="0"/>
        <v>102.5</v>
      </c>
      <c r="J7" s="75">
        <f t="shared" si="1"/>
        <v>23.375</v>
      </c>
      <c r="K7" s="67">
        <f t="shared" si="2"/>
        <v>95837.5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v>1</v>
      </c>
      <c r="G8" s="60">
        <f>Met</f>
        <v>1500</v>
      </c>
      <c r="H8" s="61">
        <f t="shared" si="0"/>
        <v>1500</v>
      </c>
      <c r="J8" s="75">
        <f t="shared" si="1"/>
        <v>935</v>
      </c>
      <c r="K8" s="67">
        <f t="shared" si="2"/>
        <v>1402500</v>
      </c>
    </row>
    <row r="9" spans="1:17" ht="16">
      <c r="B9" s="62"/>
      <c r="C9" s="62"/>
      <c r="D9" s="63"/>
      <c r="E9" s="64" t="s">
        <v>462</v>
      </c>
      <c r="F9" s="120">
        <f>$F$4</f>
        <v>935</v>
      </c>
      <c r="G9" s="65">
        <f>SUM(H5:H8)</f>
        <v>3647.7939999999999</v>
      </c>
      <c r="H9" s="65">
        <f t="shared" ref="H9" si="3">ROUND(F9*G9,3)</f>
        <v>3410687.39</v>
      </c>
      <c r="K9" s="76">
        <f>SUM(K5:K8)</f>
        <v>3410687.39</v>
      </c>
    </row>
    <row r="11" spans="1:17">
      <c r="C11" s="66"/>
    </row>
  </sheetData>
  <dataValidations count="1">
    <dataValidation type="list" allowBlank="1" showErrorMessage="1" sqref="C9 C4" xr:uid="{BA399754-3062-448D-8EAA-94CEA26DC917}">
      <formula1>"Capítulo,Partida,Mano de obra,Maquinaria,Material,Otros,Tarea"</formula1>
    </dataValidation>
  </dataValidations>
  <hyperlinks>
    <hyperlink ref="B1" location="'01.- Presupuesto'!A1" display="02.- Presupuesto'!A1" xr:uid="{6DAC1109-307C-0649-88CB-4AA67185BF22}"/>
  </hyperlinks>
  <pageMargins left="0.7" right="0.7" top="0.75" bottom="0.75" header="0.3" footer="0.3"/>
  <pageSetup orientation="portrait" horizontalDpi="0" verticalDpi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24BA-10DD-40A5-8A18-3167C3676ED2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229</v>
      </c>
      <c r="C4" s="53" t="s">
        <v>36</v>
      </c>
      <c r="D4" s="148" t="str">
        <f>'01.- Presupuesto'!F120</f>
        <v>kg</v>
      </c>
      <c r="E4" s="149" t="str">
        <f>'01.- Presupuesto'!C120</f>
        <v>Suministro e instalación perfiles L 65x65x8mm metálicos galvanizados</v>
      </c>
      <c r="F4" s="73">
        <f>'01.- Presupuesto'!G120</f>
        <v>116</v>
      </c>
      <c r="G4" s="55">
        <f>G9</f>
        <v>3647.7939999999999</v>
      </c>
      <c r="H4" s="55">
        <f>H9</f>
        <v>423144.10399999999</v>
      </c>
      <c r="J4" s="74" t="s">
        <v>30</v>
      </c>
      <c r="K4" s="74" t="s">
        <v>37</v>
      </c>
      <c r="M4" s="70">
        <f>SUMIF(C5:C21,"Material",K5:K21)</f>
        <v>249144.10400000002</v>
      </c>
      <c r="N4" s="70">
        <f>SUMIF(C5:C21,"Mano de Obra",K5:K21)</f>
        <v>0</v>
      </c>
      <c r="O4" s="70">
        <f>SUMIF(C5:C21,"Subcontrato",K5:K21)</f>
        <v>174000</v>
      </c>
      <c r="P4" s="70">
        <f>SUMIF(C5:C21,"Ser&amp;Arr",K5:K21)</f>
        <v>0</v>
      </c>
      <c r="Q4" s="71">
        <f>SUM(M4:P4)</f>
        <v>423144.10400000005</v>
      </c>
    </row>
    <row r="5" spans="1:17" ht="16">
      <c r="B5" s="56"/>
      <c r="C5" s="56" t="s">
        <v>38</v>
      </c>
      <c r="D5" s="57" t="s">
        <v>75</v>
      </c>
      <c r="E5" s="58" t="s">
        <v>458</v>
      </c>
      <c r="F5" s="59">
        <f>1.05</f>
        <v>1.05</v>
      </c>
      <c r="G5" s="60">
        <f>2250/1.19</f>
        <v>1890.7563025210086</v>
      </c>
      <c r="H5" s="61">
        <f t="shared" ref="H5:H8" si="0">ROUND(F5*G5,3)</f>
        <v>1985.2940000000001</v>
      </c>
      <c r="J5" s="75">
        <f>F5*$F$4</f>
        <v>121.80000000000001</v>
      </c>
      <c r="K5" s="67">
        <f>H5*$F$4</f>
        <v>230294.10400000002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v>0.03</v>
      </c>
      <c r="G6" s="60">
        <v>2000</v>
      </c>
      <c r="H6" s="61">
        <f t="shared" si="0"/>
        <v>60</v>
      </c>
      <c r="J6" s="75">
        <f t="shared" ref="J6:J8" si="1">F6*$F$4</f>
        <v>3.48</v>
      </c>
      <c r="K6" s="67">
        <f t="shared" ref="K6:K8" si="2">H6*$F$4</f>
        <v>6960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v>2.5000000000000001E-2</v>
      </c>
      <c r="G7" s="60">
        <v>4100</v>
      </c>
      <c r="H7" s="61">
        <f t="shared" si="0"/>
        <v>102.5</v>
      </c>
      <c r="J7" s="75">
        <f t="shared" si="1"/>
        <v>2.9000000000000004</v>
      </c>
      <c r="K7" s="67">
        <f t="shared" si="2"/>
        <v>11890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v>1</v>
      </c>
      <c r="G8" s="60">
        <f>Met</f>
        <v>1500</v>
      </c>
      <c r="H8" s="61">
        <f t="shared" si="0"/>
        <v>1500</v>
      </c>
      <c r="J8" s="75">
        <f t="shared" si="1"/>
        <v>116</v>
      </c>
      <c r="K8" s="67">
        <f t="shared" si="2"/>
        <v>174000</v>
      </c>
    </row>
    <row r="9" spans="1:17" ht="16">
      <c r="B9" s="62"/>
      <c r="C9" s="62"/>
      <c r="D9" s="63"/>
      <c r="E9" s="64" t="s">
        <v>463</v>
      </c>
      <c r="F9" s="120">
        <f>$F$4</f>
        <v>116</v>
      </c>
      <c r="G9" s="65">
        <f>SUM(H5:H8)</f>
        <v>3647.7939999999999</v>
      </c>
      <c r="H9" s="65">
        <f t="shared" ref="H9" si="3">ROUND(F9*G9,3)</f>
        <v>423144.10399999999</v>
      </c>
      <c r="K9" s="76">
        <f>SUM(K5:K8)</f>
        <v>423144.10400000005</v>
      </c>
    </row>
    <row r="11" spans="1:17">
      <c r="C11" s="66"/>
    </row>
  </sheetData>
  <dataValidations count="1">
    <dataValidation type="list" allowBlank="1" showErrorMessage="1" sqref="C9 C4" xr:uid="{72B5DF0D-4455-42D5-BAE6-8B5CAD56BCD1}">
      <formula1>"Capítulo,Partida,Mano de obra,Maquinaria,Material,Otros,Tarea"</formula1>
    </dataValidation>
  </dataValidations>
  <hyperlinks>
    <hyperlink ref="B1" location="'01.- Presupuesto'!A1" display="02.- Presupuesto'!A1" xr:uid="{98B52FB4-63FC-D94B-BC4F-21BDEC769C11}"/>
  </hyperlinks>
  <pageMargins left="0.7" right="0.7" top="0.75" bottom="0.75" header="0.3" footer="0.3"/>
  <pageSetup orientation="portrait" horizontalDpi="0" verticalDpi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14E4-AA86-44DB-8301-6B416AB0472C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230</v>
      </c>
      <c r="C4" s="53" t="s">
        <v>36</v>
      </c>
      <c r="D4" s="148" t="str">
        <f>'01.- Presupuesto'!F121</f>
        <v>kg</v>
      </c>
      <c r="E4" s="149" t="str">
        <f>'01.- Presupuesto'!C121</f>
        <v>Suministro e instalación perfiles cajón 200x200x6 metálicos galvanizados</v>
      </c>
      <c r="F4" s="73">
        <f>'01.- Presupuesto'!G121</f>
        <v>292</v>
      </c>
      <c r="G4" s="55">
        <f>G9</f>
        <v>3647.7939999999999</v>
      </c>
      <c r="H4" s="55">
        <f>H9</f>
        <v>1065155.848</v>
      </c>
      <c r="J4" s="74" t="s">
        <v>30</v>
      </c>
      <c r="K4" s="74" t="s">
        <v>37</v>
      </c>
      <c r="M4" s="70">
        <f>SUMIF(C5:C21,"Material",K5:K21)</f>
        <v>627155.848</v>
      </c>
      <c r="N4" s="70">
        <f>SUMIF(C5:C21,"Mano de Obra",K5:K21)</f>
        <v>0</v>
      </c>
      <c r="O4" s="70">
        <f>SUMIF(C5:C21,"Subcontrato",K5:K21)</f>
        <v>438000</v>
      </c>
      <c r="P4" s="70">
        <f>SUMIF(C5:C21,"Ser&amp;Arr",K5:K21)</f>
        <v>0</v>
      </c>
      <c r="Q4" s="71">
        <f>SUM(M4:P4)</f>
        <v>1065155.848</v>
      </c>
    </row>
    <row r="5" spans="1:17" ht="16">
      <c r="B5" s="56"/>
      <c r="C5" s="56" t="s">
        <v>38</v>
      </c>
      <c r="D5" s="57" t="s">
        <v>75</v>
      </c>
      <c r="E5" s="58" t="s">
        <v>458</v>
      </c>
      <c r="F5" s="59">
        <f>1.05</f>
        <v>1.05</v>
      </c>
      <c r="G5" s="60">
        <f>2250/1.19</f>
        <v>1890.7563025210086</v>
      </c>
      <c r="H5" s="61">
        <f t="shared" ref="H5:H8" si="0">ROUND(F5*G5,3)</f>
        <v>1985.2940000000001</v>
      </c>
      <c r="J5" s="75">
        <f>F5*$F$4</f>
        <v>306.60000000000002</v>
      </c>
      <c r="K5" s="67">
        <f>H5*$F$4</f>
        <v>579705.848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v>0.03</v>
      </c>
      <c r="G6" s="60">
        <v>2000</v>
      </c>
      <c r="H6" s="61">
        <f t="shared" si="0"/>
        <v>60</v>
      </c>
      <c r="J6" s="75">
        <f t="shared" ref="J6:J8" si="1">F6*$F$4</f>
        <v>8.76</v>
      </c>
      <c r="K6" s="67">
        <f t="shared" ref="K6:K8" si="2">H6*$F$4</f>
        <v>17520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v>2.5000000000000001E-2</v>
      </c>
      <c r="G7" s="60">
        <v>4100</v>
      </c>
      <c r="H7" s="61">
        <f t="shared" si="0"/>
        <v>102.5</v>
      </c>
      <c r="J7" s="75">
        <f t="shared" si="1"/>
        <v>7.3000000000000007</v>
      </c>
      <c r="K7" s="67">
        <f t="shared" si="2"/>
        <v>29930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v>1</v>
      </c>
      <c r="G8" s="60">
        <f>Met</f>
        <v>1500</v>
      </c>
      <c r="H8" s="61">
        <f t="shared" si="0"/>
        <v>1500</v>
      </c>
      <c r="J8" s="75">
        <f t="shared" si="1"/>
        <v>292</v>
      </c>
      <c r="K8" s="67">
        <f t="shared" si="2"/>
        <v>438000</v>
      </c>
    </row>
    <row r="9" spans="1:17" ht="16">
      <c r="B9" s="62"/>
      <c r="C9" s="62"/>
      <c r="D9" s="63"/>
      <c r="E9" s="64" t="s">
        <v>464</v>
      </c>
      <c r="F9" s="120">
        <f>$F$4</f>
        <v>292</v>
      </c>
      <c r="G9" s="65">
        <f>SUM(H5:H8)</f>
        <v>3647.7939999999999</v>
      </c>
      <c r="H9" s="65">
        <f t="shared" ref="H9" si="3">ROUND(F9*G9,3)</f>
        <v>1065155.848</v>
      </c>
      <c r="K9" s="76">
        <f>SUM(K5:K8)</f>
        <v>1065155.848</v>
      </c>
    </row>
    <row r="11" spans="1:17">
      <c r="C11" s="66"/>
    </row>
  </sheetData>
  <dataValidations count="1">
    <dataValidation type="list" allowBlank="1" showErrorMessage="1" sqref="C9 C4" xr:uid="{3176A98F-3629-4900-BF76-55E7EFCF30CD}">
      <formula1>"Capítulo,Partida,Mano de obra,Maquinaria,Material,Otros,Tarea"</formula1>
    </dataValidation>
  </dataValidations>
  <hyperlinks>
    <hyperlink ref="B1" location="'01.- Presupuesto'!A1" display="02.- Presupuesto'!A1" xr:uid="{B1DFAB77-74BB-B248-8610-F251F6F94C96}"/>
  </hyperlinks>
  <pageMargins left="0.7" right="0.7" top="0.75" bottom="0.75" header="0.3" footer="0.3"/>
  <pageSetup orientation="portrait" horizontalDpi="0" verticalDpi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D167-3728-461B-91C6-C1960B7BD9EF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231</v>
      </c>
      <c r="C4" s="53" t="s">
        <v>36</v>
      </c>
      <c r="D4" s="148" t="str">
        <f>'01.- Presupuesto'!F122</f>
        <v>un</v>
      </c>
      <c r="E4" s="149" t="str">
        <f>'01.- Presupuesto'!C122</f>
        <v>Suministro e instalación de pernos de 5/8" de 2 1/2" de largo calidad ASTM A-325</v>
      </c>
      <c r="F4" s="73">
        <f>'01.- Presupuesto'!G122</f>
        <v>20</v>
      </c>
      <c r="G4" s="55">
        <f>G9</f>
        <v>2171.4580000000001</v>
      </c>
      <c r="H4" s="55">
        <f>H9</f>
        <v>43429.16</v>
      </c>
      <c r="J4" s="74" t="s">
        <v>30</v>
      </c>
      <c r="K4" s="74" t="s">
        <v>37</v>
      </c>
      <c r="M4" s="70">
        <f>SUMIF(C5:C21,"Material",K5:K21)</f>
        <v>14429.16</v>
      </c>
      <c r="N4" s="70">
        <f>SUMIF(C5:C21,"Mano de Obra",K5:K21)</f>
        <v>24166.660000000003</v>
      </c>
      <c r="O4" s="70">
        <f>SUMIF(C5:C21,"Subcontrato",K5:K21)</f>
        <v>0</v>
      </c>
      <c r="P4" s="70">
        <f>SUMIF(C5:C21,"Ser&amp;Arr",K5:K21)</f>
        <v>4833.34</v>
      </c>
      <c r="Q4" s="71">
        <f>SUM(M4:P4)</f>
        <v>43429.16</v>
      </c>
    </row>
    <row r="5" spans="1:17" ht="16">
      <c r="B5" s="56"/>
      <c r="C5" s="56" t="s">
        <v>38</v>
      </c>
      <c r="D5" s="57" t="s">
        <v>39</v>
      </c>
      <c r="E5" s="58" t="s">
        <v>435</v>
      </c>
      <c r="F5" s="59">
        <f>1/25</f>
        <v>0.04</v>
      </c>
      <c r="G5" s="60">
        <f>12770/1.19</f>
        <v>10731.09243697479</v>
      </c>
      <c r="H5" s="61">
        <f t="shared" ref="H5:H7" si="0">ROUND(F5*G5,3)</f>
        <v>429.24400000000003</v>
      </c>
      <c r="J5" s="75">
        <f>F5*$F$4</f>
        <v>0.8</v>
      </c>
      <c r="K5" s="67">
        <f>H5*$F$4</f>
        <v>8584.880000000001</v>
      </c>
    </row>
    <row r="6" spans="1:17" ht="16">
      <c r="B6" s="56"/>
      <c r="C6" s="56" t="s">
        <v>38</v>
      </c>
      <c r="D6" s="57" t="s">
        <v>39</v>
      </c>
      <c r="E6" s="58" t="s">
        <v>433</v>
      </c>
      <c r="F6" s="59">
        <f>1.1*1/49</f>
        <v>2.2448979591836737E-2</v>
      </c>
      <c r="G6" s="60">
        <f>15490/1.19</f>
        <v>13016.806722689076</v>
      </c>
      <c r="H6" s="61">
        <f t="shared" si="0"/>
        <v>292.214</v>
      </c>
      <c r="J6" s="75">
        <f t="shared" ref="J6:J8" si="1">F6*$F$4</f>
        <v>0.44897959183673475</v>
      </c>
      <c r="K6" s="67">
        <f t="shared" ref="K6:K8" si="2">H6*$F$4</f>
        <v>5844.28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1/6</f>
        <v>0.16666666666666666</v>
      </c>
      <c r="G7" s="60">
        <f>Maestro</f>
        <v>7250</v>
      </c>
      <c r="H7" s="61">
        <f t="shared" si="0"/>
        <v>1208.3330000000001</v>
      </c>
      <c r="J7" s="75">
        <f t="shared" si="1"/>
        <v>3.333333333333333</v>
      </c>
      <c r="K7" s="67">
        <f t="shared" si="2"/>
        <v>24166.660000000003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SUM(H7:H7)</f>
        <v>1208.3330000000001</v>
      </c>
      <c r="H8" s="61">
        <f>ROUND(F8*G8,3)</f>
        <v>241.667</v>
      </c>
      <c r="J8" s="75">
        <f t="shared" si="1"/>
        <v>4</v>
      </c>
      <c r="K8" s="67">
        <f t="shared" si="2"/>
        <v>4833.34</v>
      </c>
    </row>
    <row r="9" spans="1:17" ht="16">
      <c r="B9" s="62"/>
      <c r="C9" s="62"/>
      <c r="D9" s="63"/>
      <c r="E9" s="64" t="s">
        <v>43</v>
      </c>
      <c r="F9" s="120">
        <f>$F$4</f>
        <v>20</v>
      </c>
      <c r="G9" s="65">
        <f>SUM(H5:H8)</f>
        <v>2171.4580000000001</v>
      </c>
      <c r="H9" s="65">
        <f t="shared" ref="H9" si="3">ROUND(F9*G9,3)</f>
        <v>43429.16</v>
      </c>
      <c r="K9" s="76">
        <f>SUM(K5:K8)</f>
        <v>43429.16</v>
      </c>
    </row>
    <row r="11" spans="1:17">
      <c r="C11" s="66"/>
    </row>
  </sheetData>
  <dataValidations count="1">
    <dataValidation type="list" allowBlank="1" showErrorMessage="1" sqref="C9 C4" xr:uid="{D83B6203-4814-491B-99BD-E80F27B0FFB3}">
      <formula1>"Capítulo,Partida,Mano de obra,Maquinaria,Material,Otros,Tarea"</formula1>
    </dataValidation>
  </dataValidations>
  <hyperlinks>
    <hyperlink ref="B1" location="'01.- Presupuesto'!A1" display="02.- Presupuesto'!A1" xr:uid="{EBACF515-40DD-F843-AF26-4F35E25D5DB0}"/>
  </hyperlinks>
  <pageMargins left="0.7" right="0.7" top="0.75" bottom="0.75" header="0.3" footer="0.3"/>
  <pageSetup orientation="portrait" horizontalDpi="0" verticalDpi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F5C1-80E5-4BAA-A40C-8973F8141A35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232</v>
      </c>
      <c r="C4" s="53" t="s">
        <v>36</v>
      </c>
      <c r="D4" s="148" t="str">
        <f>'01.- Presupuesto'!F124</f>
        <v>kg</v>
      </c>
      <c r="E4" s="149" t="str">
        <f>'01.- Presupuesto'!C124</f>
        <v>Suministro e instalación pérfiles metálicos galvanizados, incluyendo placa de anclaje.</v>
      </c>
      <c r="F4" s="73">
        <f>'01.- Presupuesto'!G124</f>
        <v>92.399999999999991</v>
      </c>
      <c r="G4" s="55">
        <f>G9</f>
        <v>3647.7939999999999</v>
      </c>
      <c r="H4" s="55">
        <f>H9</f>
        <v>337056.16600000003</v>
      </c>
      <c r="J4" s="74" t="s">
        <v>30</v>
      </c>
      <c r="K4" s="74" t="s">
        <v>37</v>
      </c>
      <c r="M4" s="70">
        <f>SUMIF(C5:C21,"Material",K5:K21)</f>
        <v>198456.16559999998</v>
      </c>
      <c r="N4" s="70">
        <f>SUMIF(C5:C21,"Mano de Obra",K5:K21)</f>
        <v>0</v>
      </c>
      <c r="O4" s="70">
        <f>SUMIF(C5:C21,"Subcontrato",K5:K21)</f>
        <v>138600</v>
      </c>
      <c r="P4" s="70">
        <f>SUMIF(C5:C21,"Ser&amp;Arr",K5:K21)</f>
        <v>0</v>
      </c>
      <c r="Q4" s="71">
        <f>SUM(M4:P4)</f>
        <v>337056.16559999995</v>
      </c>
    </row>
    <row r="5" spans="1:17" ht="16">
      <c r="B5" s="56"/>
      <c r="C5" s="56" t="s">
        <v>38</v>
      </c>
      <c r="D5" s="57" t="s">
        <v>75</v>
      </c>
      <c r="E5" s="58" t="s">
        <v>458</v>
      </c>
      <c r="F5" s="59">
        <f>1.05</f>
        <v>1.05</v>
      </c>
      <c r="G5" s="60">
        <f>2250/1.19</f>
        <v>1890.7563025210086</v>
      </c>
      <c r="H5" s="61">
        <f t="shared" ref="H5:H8" si="0">ROUND(F5*G5,3)</f>
        <v>1985.2940000000001</v>
      </c>
      <c r="J5" s="75">
        <f>F5*$F$4</f>
        <v>97.02</v>
      </c>
      <c r="K5" s="67">
        <f>H5*$F$4</f>
        <v>183441.16559999998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v>0.03</v>
      </c>
      <c r="G6" s="60">
        <v>2000</v>
      </c>
      <c r="H6" s="61">
        <f t="shared" si="0"/>
        <v>60</v>
      </c>
      <c r="J6" s="75">
        <f t="shared" ref="J6:J8" si="1">F6*$F$4</f>
        <v>2.7719999999999998</v>
      </c>
      <c r="K6" s="67">
        <f t="shared" ref="K6:K8" si="2">H6*$F$4</f>
        <v>5543.9999999999991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v>2.5000000000000001E-2</v>
      </c>
      <c r="G7" s="60">
        <v>4100</v>
      </c>
      <c r="H7" s="61">
        <f t="shared" si="0"/>
        <v>102.5</v>
      </c>
      <c r="J7" s="75">
        <f t="shared" si="1"/>
        <v>2.31</v>
      </c>
      <c r="K7" s="67">
        <f t="shared" si="2"/>
        <v>9471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v>1</v>
      </c>
      <c r="G8" s="60">
        <f>Met</f>
        <v>1500</v>
      </c>
      <c r="H8" s="61">
        <f t="shared" si="0"/>
        <v>1500</v>
      </c>
      <c r="J8" s="75">
        <f t="shared" si="1"/>
        <v>92.399999999999991</v>
      </c>
      <c r="K8" s="67">
        <f t="shared" si="2"/>
        <v>138600</v>
      </c>
    </row>
    <row r="9" spans="1:17" ht="16">
      <c r="B9" s="62"/>
      <c r="C9" s="62"/>
      <c r="D9" s="63"/>
      <c r="E9" s="64" t="s">
        <v>465</v>
      </c>
      <c r="F9" s="120">
        <f>$F$4</f>
        <v>92.399999999999991</v>
      </c>
      <c r="G9" s="65">
        <f>SUM(H5:H8)</f>
        <v>3647.7939999999999</v>
      </c>
      <c r="H9" s="65">
        <f t="shared" ref="H9" si="3">ROUND(F9*G9,3)</f>
        <v>337056.16600000003</v>
      </c>
      <c r="K9" s="76">
        <f>SUM(K5:K8)</f>
        <v>337056.16559999995</v>
      </c>
    </row>
    <row r="11" spans="1:17">
      <c r="C11" s="66"/>
    </row>
  </sheetData>
  <dataValidations count="1">
    <dataValidation type="list" allowBlank="1" showErrorMessage="1" sqref="C9 C4" xr:uid="{0E0C99AF-740C-432D-9BCF-78909722F7FA}">
      <formula1>"Capítulo,Partida,Mano de obra,Maquinaria,Material,Otros,Tarea"</formula1>
    </dataValidation>
  </dataValidations>
  <hyperlinks>
    <hyperlink ref="B1" location="'01.- Presupuesto'!A1" display="02.- Presupuesto'!A1" xr:uid="{87634664-EEB4-4F4A-95CF-29D16EFAEE5B}"/>
  </hyperlinks>
  <pageMargins left="0.7" right="0.7" top="0.75" bottom="0.75" header="0.3" footer="0.3"/>
  <pageSetup orientation="portrait" horizontalDpi="0" verticalDpi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33DA3-9FF8-4191-87A7-0EA5A95A73C5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233</v>
      </c>
      <c r="C4" s="53" t="s">
        <v>36</v>
      </c>
      <c r="D4" s="148" t="str">
        <f>'01.- Presupuesto'!F125</f>
        <v>un</v>
      </c>
      <c r="E4" s="149" t="str">
        <f>'01.- Presupuesto'!C125</f>
        <v>Suministro e instalación de pernos de anclaje mecanico Ø1/2  4"</v>
      </c>
      <c r="F4" s="73">
        <f>'01.- Presupuesto'!G125</f>
        <v>80</v>
      </c>
      <c r="G4" s="55">
        <f>G9</f>
        <v>3498.5170000000003</v>
      </c>
      <c r="H4" s="55">
        <f>H9</f>
        <v>279881.36</v>
      </c>
      <c r="J4" s="74" t="s">
        <v>30</v>
      </c>
      <c r="K4" s="74" t="s">
        <v>37</v>
      </c>
      <c r="M4" s="70">
        <f>SUMIF(C5:C21,"Material",K5:K21)</f>
        <v>163881.36000000002</v>
      </c>
      <c r="N4" s="70">
        <f>SUMIF(C5:C21,"Mano de Obra",K5:K21)</f>
        <v>96666.640000000014</v>
      </c>
      <c r="O4" s="70">
        <f>SUMIF(C5:C21,"Subcontrato",K5:K21)</f>
        <v>0</v>
      </c>
      <c r="P4" s="70">
        <f>SUMIF(C5:C21,"Ser&amp;Arr",K5:K21)</f>
        <v>19333.36</v>
      </c>
      <c r="Q4" s="71">
        <f>SUM(M4:P4)</f>
        <v>279881.36000000004</v>
      </c>
    </row>
    <row r="5" spans="1:17" ht="16">
      <c r="B5" s="56"/>
      <c r="C5" s="56" t="s">
        <v>38</v>
      </c>
      <c r="D5" s="57" t="s">
        <v>39</v>
      </c>
      <c r="E5" s="58" t="s">
        <v>506</v>
      </c>
      <c r="F5" s="59">
        <v>1</v>
      </c>
      <c r="G5" s="60">
        <f>2090/1.19</f>
        <v>1756.3025210084033</v>
      </c>
      <c r="H5" s="61">
        <f t="shared" ref="H5:H7" si="0">ROUND(F5*G5,3)</f>
        <v>1756.3030000000001</v>
      </c>
      <c r="J5" s="75">
        <f>F5*$F$4</f>
        <v>80</v>
      </c>
      <c r="K5" s="67">
        <f>H5*$F$4</f>
        <v>140504.24000000002</v>
      </c>
    </row>
    <row r="6" spans="1:17" ht="16">
      <c r="B6" s="56"/>
      <c r="C6" s="56" t="s">
        <v>38</v>
      </c>
      <c r="D6" s="57" t="s">
        <v>39</v>
      </c>
      <c r="E6" s="58" t="s">
        <v>433</v>
      </c>
      <c r="F6" s="59">
        <f>1.1*1/49</f>
        <v>2.2448979591836737E-2</v>
      </c>
      <c r="G6" s="60">
        <f>15490/1.19</f>
        <v>13016.806722689076</v>
      </c>
      <c r="H6" s="61">
        <f t="shared" si="0"/>
        <v>292.214</v>
      </c>
      <c r="J6" s="75">
        <f t="shared" ref="J6:J8" si="1">F6*$F$4</f>
        <v>1.795918367346939</v>
      </c>
      <c r="K6" s="67">
        <f t="shared" ref="K6:K8" si="2">H6*$F$4</f>
        <v>23377.119999999999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1/6</f>
        <v>0.16666666666666666</v>
      </c>
      <c r="G7" s="60">
        <f>Maestro</f>
        <v>7250</v>
      </c>
      <c r="H7" s="61">
        <f t="shared" si="0"/>
        <v>1208.3330000000001</v>
      </c>
      <c r="J7" s="75">
        <f t="shared" si="1"/>
        <v>13.333333333333332</v>
      </c>
      <c r="K7" s="67">
        <f t="shared" si="2"/>
        <v>96666.640000000014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SUM(H7:H7)</f>
        <v>1208.3330000000001</v>
      </c>
      <c r="H8" s="61">
        <f>ROUND(F8*G8,3)</f>
        <v>241.667</v>
      </c>
      <c r="J8" s="75">
        <f t="shared" si="1"/>
        <v>16</v>
      </c>
      <c r="K8" s="67">
        <f t="shared" si="2"/>
        <v>19333.36</v>
      </c>
    </row>
    <row r="9" spans="1:17" ht="16">
      <c r="B9" s="62"/>
      <c r="C9" s="62"/>
      <c r="D9" s="63"/>
      <c r="E9" s="64" t="s">
        <v>505</v>
      </c>
      <c r="F9" s="120">
        <f>$F$4</f>
        <v>80</v>
      </c>
      <c r="G9" s="65">
        <f>SUM(H5:H8)</f>
        <v>3498.5170000000003</v>
      </c>
      <c r="H9" s="65">
        <f t="shared" ref="H9" si="3">ROUND(F9*G9,3)</f>
        <v>279881.36</v>
      </c>
      <c r="K9" s="76">
        <f>SUM(K5:K8)</f>
        <v>279881.36000000004</v>
      </c>
    </row>
    <row r="11" spans="1:17">
      <c r="C11" s="66"/>
    </row>
  </sheetData>
  <dataValidations count="1">
    <dataValidation type="list" allowBlank="1" showErrorMessage="1" sqref="C9 C4" xr:uid="{C1C9099E-841E-4E4C-BD7F-36C6B4210F8A}">
      <formula1>"Capítulo,Partida,Mano de obra,Maquinaria,Material,Otros,Tarea"</formula1>
    </dataValidation>
  </dataValidations>
  <hyperlinks>
    <hyperlink ref="B1" location="'01.- Presupuesto'!A1" display="02.- Presupuesto'!A1" xr:uid="{C2B7E216-F609-F04C-B95A-19565B8D3C21}"/>
  </hyperlinks>
  <pageMargins left="0.7" right="0.7" top="0.75" bottom="0.75" header="0.3" footer="0.3"/>
  <pageSetup orientation="portrait" horizontalDpi="0" verticalDpi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588C-6DA6-4339-8D6A-F1D003347847}">
  <sheetPr>
    <tabColor theme="9" tint="0.59999389629810485"/>
  </sheetPr>
  <dimension ref="A1:Q15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243</v>
      </c>
      <c r="C4" s="53" t="s">
        <v>36</v>
      </c>
      <c r="D4" s="148" t="str">
        <f>'01.- Presupuesto'!F129</f>
        <v>m3</v>
      </c>
      <c r="E4" s="149" t="str">
        <f>'01.- Presupuesto'!C129</f>
        <v>Suministro y construcción Hormigón G20, construcción fundaciones.</v>
      </c>
      <c r="F4" s="73">
        <f>'01.- Presupuesto'!G129</f>
        <v>26.554499999999997</v>
      </c>
      <c r="G4" s="55">
        <f>G13</f>
        <v>137616.83400000003</v>
      </c>
      <c r="H4" s="55">
        <f>H13</f>
        <v>3654346.2179999999</v>
      </c>
      <c r="J4" s="74" t="s">
        <v>30</v>
      </c>
      <c r="K4" s="74" t="s">
        <v>37</v>
      </c>
      <c r="M4" s="70">
        <f>SUMIF(C5:C25,"Material",K5:K25)</f>
        <v>3197549.8143539992</v>
      </c>
      <c r="N4" s="70">
        <f>SUMIF(C5:C25,"Mano de Obra",K5:K25)</f>
        <v>255267.4259835</v>
      </c>
      <c r="O4" s="70">
        <f>SUMIF(C5:C25,"Subcontrato",K5:K25)</f>
        <v>0</v>
      </c>
      <c r="P4" s="70">
        <f>SUMIF(C5:C25,"Ser&amp;Arr",K5:K25)</f>
        <v>201528.97811550001</v>
      </c>
      <c r="Q4" s="71">
        <f>SUM(M4:P4)</f>
        <v>3654346.2184529994</v>
      </c>
    </row>
    <row r="5" spans="1:17" ht="16">
      <c r="B5" s="56"/>
      <c r="C5" s="56" t="s">
        <v>38</v>
      </c>
      <c r="D5" s="57" t="s">
        <v>67</v>
      </c>
      <c r="E5" s="58" t="s">
        <v>382</v>
      </c>
      <c r="F5" s="59">
        <v>1.1000000000000001</v>
      </c>
      <c r="G5" s="60">
        <f>HormG20</f>
        <v>108376.92</v>
      </c>
      <c r="H5" s="61">
        <f t="shared" ref="H5:H8" si="0">ROUND(F5*G5,3)</f>
        <v>119214.61199999999</v>
      </c>
      <c r="J5" s="75">
        <f>F5*$F$4</f>
        <v>29.209949999999999</v>
      </c>
      <c r="K5" s="67">
        <f>H5*$F$4</f>
        <v>3165684.4143539993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10" si="1">F6*$F$4</f>
        <v>2.6554500000000001</v>
      </c>
      <c r="K6" s="67">
        <f t="shared" ref="K6:K10" si="2">H6*$F$4</f>
        <v>31865.399999999998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</f>
        <v>0.33333333333333331</v>
      </c>
      <c r="G7" s="60">
        <f>Maestro</f>
        <v>7250</v>
      </c>
      <c r="H7" s="61">
        <f t="shared" si="0"/>
        <v>2416.6669999999999</v>
      </c>
      <c r="J7" s="75">
        <f t="shared" si="1"/>
        <v>8.8514999999999979</v>
      </c>
      <c r="K7" s="67">
        <f t="shared" si="2"/>
        <v>64173.383851499988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</f>
        <v>1.3333333333333333</v>
      </c>
      <c r="G8" s="60">
        <f>Jornal</f>
        <v>5397.2222222222226</v>
      </c>
      <c r="H8" s="61">
        <f t="shared" si="0"/>
        <v>7196.2960000000003</v>
      </c>
      <c r="J8" s="75">
        <f t="shared" si="1"/>
        <v>35.405999999999992</v>
      </c>
      <c r="K8" s="67">
        <f t="shared" si="2"/>
        <v>191094.042132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9612.9629999999997</v>
      </c>
      <c r="H9" s="61">
        <f>ROUND(F9*G9,3)</f>
        <v>1922.5930000000001</v>
      </c>
      <c r="J9" s="75">
        <f t="shared" si="1"/>
        <v>5.3109000000000002</v>
      </c>
      <c r="K9" s="67">
        <f t="shared" si="2"/>
        <v>51053.4958185</v>
      </c>
    </row>
    <row r="10" spans="1:17" ht="16">
      <c r="B10" s="56"/>
      <c r="C10" s="56" t="s">
        <v>54</v>
      </c>
      <c r="D10" s="57" t="s">
        <v>71</v>
      </c>
      <c r="E10" s="58" t="s">
        <v>372</v>
      </c>
      <c r="F10" s="59">
        <f>1/3</f>
        <v>0.33333333333333331</v>
      </c>
      <c r="G10" s="60">
        <f>3500+3500</f>
        <v>7000</v>
      </c>
      <c r="H10" s="61">
        <f>ROUND(F10*G10,3)</f>
        <v>2333.3330000000001</v>
      </c>
      <c r="J10" s="75">
        <f t="shared" si="1"/>
        <v>8.8514999999999979</v>
      </c>
      <c r="K10" s="67">
        <f t="shared" si="2"/>
        <v>61960.491148499998</v>
      </c>
    </row>
    <row r="11" spans="1:17" ht="16">
      <c r="B11" s="56"/>
      <c r="C11" s="56" t="s">
        <v>54</v>
      </c>
      <c r="D11" s="57" t="s">
        <v>71</v>
      </c>
      <c r="E11" s="58" t="s">
        <v>373</v>
      </c>
      <c r="F11" s="59">
        <f>1/3</f>
        <v>0.33333333333333331</v>
      </c>
      <c r="G11" s="60">
        <f>3500+3500</f>
        <v>7000</v>
      </c>
      <c r="H11" s="61">
        <f>ROUND(F11*G11,3)</f>
        <v>2333.3330000000001</v>
      </c>
      <c r="J11" s="75">
        <f>F11*$F$4</f>
        <v>8.8514999999999979</v>
      </c>
      <c r="K11" s="67">
        <f>H11*$F$4</f>
        <v>61960.491148499998</v>
      </c>
    </row>
    <row r="12" spans="1:17" ht="16">
      <c r="B12" s="56"/>
      <c r="C12" s="56" t="s">
        <v>54</v>
      </c>
      <c r="D12" s="57" t="s">
        <v>76</v>
      </c>
      <c r="E12" s="58" t="s">
        <v>368</v>
      </c>
      <c r="F12" s="59">
        <f>1/50</f>
        <v>0.02</v>
      </c>
      <c r="G12" s="60">
        <v>50000</v>
      </c>
      <c r="H12" s="61">
        <f>ROUND(F12*G12,3)</f>
        <v>1000</v>
      </c>
      <c r="J12" s="75">
        <f>F12*$F$4</f>
        <v>0.53108999999999995</v>
      </c>
      <c r="K12" s="67">
        <f>H12*$F$4</f>
        <v>26554.499999999996</v>
      </c>
    </row>
    <row r="13" spans="1:17" ht="16">
      <c r="B13" s="62"/>
      <c r="C13" s="62"/>
      <c r="D13" s="63"/>
      <c r="E13" s="64" t="s">
        <v>507</v>
      </c>
      <c r="F13" s="120">
        <f>$F$4</f>
        <v>26.554499999999997</v>
      </c>
      <c r="G13" s="65">
        <f>SUM(H5:H12)</f>
        <v>137616.83400000003</v>
      </c>
      <c r="H13" s="65">
        <f t="shared" ref="H13" si="3">ROUND(F13*G13,3)</f>
        <v>3654346.2179999999</v>
      </c>
      <c r="K13" s="76">
        <f>SUM(K5:K12)</f>
        <v>3654346.2184529984</v>
      </c>
    </row>
    <row r="15" spans="1:17">
      <c r="C15" s="66"/>
    </row>
  </sheetData>
  <dataValidations count="1">
    <dataValidation type="list" allowBlank="1" showErrorMessage="1" sqref="C13 C4" xr:uid="{4FBCDF1D-655D-4E94-BF9A-15EF2C803220}">
      <formula1>"Capítulo,Partida,Mano de obra,Maquinaria,Material,Otros,Tarea"</formula1>
    </dataValidation>
  </dataValidations>
  <hyperlinks>
    <hyperlink ref="B1" location="'01.- Presupuesto'!A1" display="02.- Presupuesto'!A1" xr:uid="{FAA9CF33-DC1A-0E44-B573-172976D0B9F6}"/>
  </hyperlinks>
  <pageMargins left="0.7" right="0.7" top="0.75" bottom="0.75" header="0.3" footer="0.3"/>
  <pageSetup orientation="portrait" horizontalDpi="0" verticalDpi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D57F-C58E-4FBC-8B3F-B363F2C01EC7}">
  <sheetPr>
    <tabColor theme="9" tint="0.59999389629810485"/>
  </sheetPr>
  <dimension ref="A1:Q15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244</v>
      </c>
      <c r="C4" s="53" t="s">
        <v>36</v>
      </c>
      <c r="D4" s="148" t="str">
        <f>'01.- Presupuesto'!F130</f>
        <v>m3</v>
      </c>
      <c r="E4" s="149" t="str">
        <f>'01.- Presupuesto'!C130</f>
        <v>Suministro y construcción Hormigón G20, construcción vigas de amarre</v>
      </c>
      <c r="F4" s="73">
        <f>'01.- Presupuesto'!G130</f>
        <v>5.4749999999999996</v>
      </c>
      <c r="G4" s="55">
        <f>G13</f>
        <v>137616.83400000003</v>
      </c>
      <c r="H4" s="55">
        <f>H13</f>
        <v>753452.16599999997</v>
      </c>
      <c r="J4" s="74" t="s">
        <v>30</v>
      </c>
      <c r="K4" s="74" t="s">
        <v>37</v>
      </c>
      <c r="M4" s="70">
        <f>SUMIF(C5:C25,"Material",K5:K25)</f>
        <v>659270.00069999998</v>
      </c>
      <c r="N4" s="70">
        <f>SUMIF(C5:C25,"Mano de Obra",K5:K25)</f>
        <v>52630.972425</v>
      </c>
      <c r="O4" s="70">
        <f>SUMIF(C5:C25,"Subcontrato",K5:K25)</f>
        <v>0</v>
      </c>
      <c r="P4" s="70">
        <f>SUMIF(C5:C25,"Ser&amp;Arr",K5:K25)</f>
        <v>41551.193025</v>
      </c>
      <c r="Q4" s="71">
        <f>SUM(M4:P4)</f>
        <v>753452.16615000006</v>
      </c>
    </row>
    <row r="5" spans="1:17" ht="16">
      <c r="B5" s="56"/>
      <c r="C5" s="56" t="s">
        <v>38</v>
      </c>
      <c r="D5" s="57" t="s">
        <v>67</v>
      </c>
      <c r="E5" s="58" t="s">
        <v>382</v>
      </c>
      <c r="F5" s="59">
        <v>1.1000000000000001</v>
      </c>
      <c r="G5" s="60">
        <f>HormG20</f>
        <v>108376.92</v>
      </c>
      <c r="H5" s="61">
        <f t="shared" ref="H5:H8" si="0">ROUND(F5*G5,3)</f>
        <v>119214.61199999999</v>
      </c>
      <c r="J5" s="75">
        <f>F5*$F$4</f>
        <v>6.0225</v>
      </c>
      <c r="K5" s="67">
        <f>H5*$F$4</f>
        <v>652700.00069999998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10" si="1">F6*$F$4</f>
        <v>0.54749999999999999</v>
      </c>
      <c r="K6" s="67">
        <f t="shared" ref="K6:K10" si="2">H6*$F$4</f>
        <v>6570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</f>
        <v>0.33333333333333331</v>
      </c>
      <c r="G7" s="60">
        <f>Maestro</f>
        <v>7250</v>
      </c>
      <c r="H7" s="61">
        <f t="shared" si="0"/>
        <v>2416.6669999999999</v>
      </c>
      <c r="J7" s="75">
        <f t="shared" si="1"/>
        <v>1.8249999999999997</v>
      </c>
      <c r="K7" s="67">
        <f t="shared" si="2"/>
        <v>13231.251824999999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</f>
        <v>1.3333333333333333</v>
      </c>
      <c r="G8" s="60">
        <f>Jornal</f>
        <v>5397.2222222222226</v>
      </c>
      <c r="H8" s="61">
        <f t="shared" si="0"/>
        <v>7196.2960000000003</v>
      </c>
      <c r="J8" s="75">
        <f t="shared" si="1"/>
        <v>7.2999999999999989</v>
      </c>
      <c r="K8" s="67">
        <f t="shared" si="2"/>
        <v>39399.720600000001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9612.9629999999997</v>
      </c>
      <c r="H9" s="61">
        <f>ROUND(F9*G9,3)</f>
        <v>1922.5930000000001</v>
      </c>
      <c r="J9" s="75">
        <f t="shared" si="1"/>
        <v>1.095</v>
      </c>
      <c r="K9" s="67">
        <f t="shared" si="2"/>
        <v>10526.196674999999</v>
      </c>
    </row>
    <row r="10" spans="1:17" ht="16">
      <c r="B10" s="56"/>
      <c r="C10" s="56" t="s">
        <v>54</v>
      </c>
      <c r="D10" s="57" t="s">
        <v>71</v>
      </c>
      <c r="E10" s="58" t="s">
        <v>372</v>
      </c>
      <c r="F10" s="59">
        <f>1/3</f>
        <v>0.33333333333333331</v>
      </c>
      <c r="G10" s="60">
        <f>3500+3500</f>
        <v>7000</v>
      </c>
      <c r="H10" s="61">
        <f>ROUND(F10*G10,3)</f>
        <v>2333.3330000000001</v>
      </c>
      <c r="J10" s="75">
        <f t="shared" si="1"/>
        <v>1.8249999999999997</v>
      </c>
      <c r="K10" s="67">
        <f t="shared" si="2"/>
        <v>12774.998174999999</v>
      </c>
    </row>
    <row r="11" spans="1:17" ht="16">
      <c r="B11" s="56"/>
      <c r="C11" s="56" t="s">
        <v>54</v>
      </c>
      <c r="D11" s="57" t="s">
        <v>71</v>
      </c>
      <c r="E11" s="58" t="s">
        <v>373</v>
      </c>
      <c r="F11" s="59">
        <f>1/3</f>
        <v>0.33333333333333331</v>
      </c>
      <c r="G11" s="60">
        <f>3500+3500</f>
        <v>7000</v>
      </c>
      <c r="H11" s="61">
        <f>ROUND(F11*G11,3)</f>
        <v>2333.3330000000001</v>
      </c>
      <c r="J11" s="75">
        <f>F11*$F$4</f>
        <v>1.8249999999999997</v>
      </c>
      <c r="K11" s="67">
        <f>H11*$F$4</f>
        <v>12774.998174999999</v>
      </c>
    </row>
    <row r="12" spans="1:17" ht="16">
      <c r="B12" s="56"/>
      <c r="C12" s="56" t="s">
        <v>54</v>
      </c>
      <c r="D12" s="57" t="s">
        <v>76</v>
      </c>
      <c r="E12" s="58" t="s">
        <v>368</v>
      </c>
      <c r="F12" s="59">
        <f>1/50</f>
        <v>0.02</v>
      </c>
      <c r="G12" s="60">
        <v>50000</v>
      </c>
      <c r="H12" s="61">
        <f>ROUND(F12*G12,3)</f>
        <v>1000</v>
      </c>
      <c r="J12" s="75">
        <f>F12*$F$4</f>
        <v>0.1095</v>
      </c>
      <c r="K12" s="67">
        <f>H12*$F$4</f>
        <v>5475</v>
      </c>
    </row>
    <row r="13" spans="1:17" ht="16">
      <c r="B13" s="62"/>
      <c r="C13" s="62"/>
      <c r="D13" s="63"/>
      <c r="E13" s="64" t="s">
        <v>508</v>
      </c>
      <c r="F13" s="120">
        <f>$F$4</f>
        <v>5.4749999999999996</v>
      </c>
      <c r="G13" s="65">
        <f>SUM(H5:H12)</f>
        <v>137616.83400000003</v>
      </c>
      <c r="H13" s="65">
        <f t="shared" ref="H13" si="3">ROUND(F13*G13,3)</f>
        <v>753452.16599999997</v>
      </c>
      <c r="K13" s="76">
        <f>SUM(K5:K12)</f>
        <v>753452.16614999995</v>
      </c>
    </row>
    <row r="15" spans="1:17">
      <c r="C15" s="66"/>
    </row>
  </sheetData>
  <dataValidations count="1">
    <dataValidation type="list" allowBlank="1" showErrorMessage="1" sqref="C13 C4" xr:uid="{168C6A79-A56C-4041-B8C9-9283725E1B7E}">
      <formula1>"Capítulo,Partida,Mano de obra,Maquinaria,Material,Otros,Tarea"</formula1>
    </dataValidation>
  </dataValidations>
  <hyperlinks>
    <hyperlink ref="B1" location="'01.- Presupuesto'!A1" display="02.- Presupuesto'!A1" xr:uid="{9D88E784-8C14-3F44-9520-5321C8E33A29}"/>
  </hyperlinks>
  <pageMargins left="0.7" right="0.7" top="0.75" bottom="0.75" header="0.3" footer="0.3"/>
  <pageSetup orientation="portrait" horizontalDpi="0" verticalDpi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559B-AD4B-4D61-8ABE-AC13C6C45C25}">
  <sheetPr>
    <tabColor theme="9" tint="0.59999389629810485"/>
  </sheetPr>
  <dimension ref="A1:Q12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245</v>
      </c>
      <c r="C4" s="53" t="s">
        <v>36</v>
      </c>
      <c r="D4" s="148" t="str">
        <f>'01.- Presupuesto'!F131</f>
        <v>m3</v>
      </c>
      <c r="E4" s="149" t="str">
        <f>'01.- Presupuesto'!C131</f>
        <v>Suministro e instalación emplantillado hormigón G5</v>
      </c>
      <c r="F4" s="73">
        <f>'01.- Presupuesto'!G131</f>
        <v>2.0519999999999996</v>
      </c>
      <c r="G4" s="55">
        <f>G10</f>
        <v>120719.806</v>
      </c>
      <c r="H4" s="55">
        <f>H10</f>
        <v>247717.04199999999</v>
      </c>
      <c r="J4" s="74" t="s">
        <v>30</v>
      </c>
      <c r="K4" s="74" t="s">
        <v>37</v>
      </c>
      <c r="M4" s="70">
        <f>SUMIF(C5:C22,"Material",K5:K22)</f>
        <v>224046.08099999995</v>
      </c>
      <c r="N4" s="70">
        <f>SUMIF(C5:C22,"Mano de Obra",K5:K22)</f>
        <v>19725.800075999996</v>
      </c>
      <c r="O4" s="70">
        <f>SUMIF(C5:C22,"Subcontrato",K5:K22)</f>
        <v>0</v>
      </c>
      <c r="P4" s="70">
        <f>SUMIF(C5:C22,"Ser&amp;Arr",K5:K22)</f>
        <v>3945.1608359999996</v>
      </c>
      <c r="Q4" s="71">
        <f>SUM(M4:P4)</f>
        <v>247717.04191199993</v>
      </c>
    </row>
    <row r="5" spans="1:17" ht="16">
      <c r="B5" s="56"/>
      <c r="C5" s="56" t="s">
        <v>38</v>
      </c>
      <c r="D5" s="57" t="s">
        <v>67</v>
      </c>
      <c r="E5" s="58" t="s">
        <v>383</v>
      </c>
      <c r="F5" s="59">
        <v>1.1000000000000001</v>
      </c>
      <c r="G5" s="60">
        <f>HormG5</f>
        <v>98167.5</v>
      </c>
      <c r="H5" s="61">
        <f t="shared" ref="H5:H8" si="0">ROUND(F5*G5,3)</f>
        <v>107984.25</v>
      </c>
      <c r="J5" s="75">
        <f>F5*$F$4</f>
        <v>2.2571999999999997</v>
      </c>
      <c r="K5" s="67">
        <f>H5*$F$4</f>
        <v>221583.68099999995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9" si="1">F6*$F$4</f>
        <v>0.20519999999999997</v>
      </c>
      <c r="K6" s="67">
        <f t="shared" ref="K6:K9" si="2">H6*$F$4</f>
        <v>2462.3999999999996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</f>
        <v>0.33333333333333331</v>
      </c>
      <c r="G7" s="60">
        <f>Maestro</f>
        <v>7250</v>
      </c>
      <c r="H7" s="61">
        <f t="shared" si="0"/>
        <v>2416.6669999999999</v>
      </c>
      <c r="J7" s="75">
        <f t="shared" si="1"/>
        <v>0.68399999999999983</v>
      </c>
      <c r="K7" s="67">
        <f t="shared" si="2"/>
        <v>4959.0006839999987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</f>
        <v>1.3333333333333333</v>
      </c>
      <c r="G8" s="60">
        <f>Jornal</f>
        <v>5397.2222222222226</v>
      </c>
      <c r="H8" s="61">
        <f t="shared" si="0"/>
        <v>7196.2960000000003</v>
      </c>
      <c r="J8" s="75">
        <f t="shared" si="1"/>
        <v>2.7359999999999993</v>
      </c>
      <c r="K8" s="67">
        <f t="shared" si="2"/>
        <v>14766.799391999997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9612.9629999999997</v>
      </c>
      <c r="H9" s="61">
        <f>ROUND(F9*G9,3)</f>
        <v>1922.5930000000001</v>
      </c>
      <c r="J9" s="75">
        <f t="shared" si="1"/>
        <v>0.41039999999999993</v>
      </c>
      <c r="K9" s="67">
        <f t="shared" si="2"/>
        <v>3945.1608359999996</v>
      </c>
    </row>
    <row r="10" spans="1:17" ht="16">
      <c r="B10" s="62"/>
      <c r="C10" s="62"/>
      <c r="D10" s="63"/>
      <c r="E10" s="64" t="s">
        <v>430</v>
      </c>
      <c r="F10" s="120">
        <f>$F$4</f>
        <v>2.0519999999999996</v>
      </c>
      <c r="G10" s="65">
        <f>SUM(H5:H9)</f>
        <v>120719.806</v>
      </c>
      <c r="H10" s="65">
        <f t="shared" ref="H10" si="3">ROUND(F10*G10,3)</f>
        <v>247717.04199999999</v>
      </c>
      <c r="K10" s="76">
        <f>SUM(K5:K9)</f>
        <v>247717.04191199993</v>
      </c>
    </row>
    <row r="12" spans="1:17">
      <c r="C12" s="66"/>
    </row>
  </sheetData>
  <dataValidations count="1">
    <dataValidation type="list" allowBlank="1" showErrorMessage="1" sqref="C10 C4" xr:uid="{2840978F-858F-433E-B831-DBB4429D6CC5}">
      <formula1>"Capítulo,Partida,Mano de obra,Maquinaria,Material,Otros,Tarea"</formula1>
    </dataValidation>
  </dataValidations>
  <hyperlinks>
    <hyperlink ref="B1" location="'01.- Presupuesto'!A1" display="02.- Presupuesto'!A1" xr:uid="{7C40E68F-199E-B74B-9457-CC6191476743}"/>
  </hyperlinks>
  <pageMargins left="0.7" right="0.7" top="0.75" bottom="0.75" header="0.3" footer="0.3"/>
  <pageSetup orientation="portrait" horizontalDpi="0" verticalDpi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67CE-A5E2-40B4-B7B0-3C96D4C04FCC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10.164062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246</v>
      </c>
      <c r="C4" s="53" t="s">
        <v>36</v>
      </c>
      <c r="D4" s="148" t="str">
        <f>'01.- Presupuesto'!F133</f>
        <v>m2</v>
      </c>
      <c r="E4" s="149" t="str">
        <f>'01.- Presupuesto'!C133</f>
        <v>Suministro e instalación de moldaje para pedestal fundaciones y vigas</v>
      </c>
      <c r="F4" s="73">
        <f>'01.- Presupuesto'!G132</f>
        <v>68.903999999999996</v>
      </c>
      <c r="G4" s="55">
        <f>G9</f>
        <v>25500</v>
      </c>
      <c r="H4" s="55">
        <f>H9</f>
        <v>1757052</v>
      </c>
      <c r="J4" s="74" t="s">
        <v>30</v>
      </c>
      <c r="K4" s="74" t="s">
        <v>37</v>
      </c>
      <c r="M4" s="70">
        <f>SUMIF(C5:C21,"Material",K5:K21)</f>
        <v>0</v>
      </c>
      <c r="N4" s="70">
        <f>SUMIF(C5:C21,"Mano de Obra",K5:K21)</f>
        <v>0</v>
      </c>
      <c r="O4" s="70">
        <f>SUMIF(C5:C21,"Subcontrato",K5:K21)</f>
        <v>0</v>
      </c>
      <c r="P4" s="70">
        <f>SUMIF(C5:C21,"Ser&amp;Arr",K5:K21)</f>
        <v>1757052</v>
      </c>
      <c r="Q4" s="71">
        <f>SUM(M4:P4)</f>
        <v>1757052</v>
      </c>
    </row>
    <row r="5" spans="1:17" ht="16">
      <c r="B5" s="56"/>
      <c r="C5" s="56" t="s">
        <v>54</v>
      </c>
      <c r="D5" s="57" t="s">
        <v>348</v>
      </c>
      <c r="E5" s="58" t="s">
        <v>353</v>
      </c>
      <c r="F5" s="59">
        <f>1/20</f>
        <v>0.05</v>
      </c>
      <c r="G5" s="60">
        <f>Excavadora</f>
        <v>50000</v>
      </c>
      <c r="H5" s="61">
        <f t="shared" ref="H5:H8" si="0">ROUND(F5*G5,3)</f>
        <v>2500</v>
      </c>
      <c r="J5" s="75">
        <f>F5*$F$4</f>
        <v>3.4451999999999998</v>
      </c>
      <c r="K5" s="67">
        <f>H5*$F$4</f>
        <v>172260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8" si="1">F6*$F$4</f>
        <v>3.4451999999999998</v>
      </c>
      <c r="K6" s="67">
        <f t="shared" ref="K6:K8" si="2">H6*$F$4</f>
        <v>110246.39999999999</v>
      </c>
    </row>
    <row r="7" spans="1:17" ht="16">
      <c r="B7" s="56"/>
      <c r="C7" s="56" t="s">
        <v>54</v>
      </c>
      <c r="D7" s="57" t="s">
        <v>348</v>
      </c>
      <c r="E7" s="58" t="s">
        <v>349</v>
      </c>
      <c r="F7" s="59">
        <f>1/20</f>
        <v>0.05</v>
      </c>
      <c r="G7" s="60">
        <f>Tolva</f>
        <v>38000</v>
      </c>
      <c r="H7" s="61">
        <f t="shared" si="0"/>
        <v>1900</v>
      </c>
      <c r="J7" s="75">
        <f t="shared" si="1"/>
        <v>3.4451999999999998</v>
      </c>
      <c r="K7" s="67">
        <f t="shared" si="2"/>
        <v>130917.59999999999</v>
      </c>
    </row>
    <row r="8" spans="1:17" ht="16">
      <c r="B8" s="56"/>
      <c r="C8" s="56" t="s">
        <v>54</v>
      </c>
      <c r="D8" s="57" t="s">
        <v>67</v>
      </c>
      <c r="E8" s="58" t="s">
        <v>70</v>
      </c>
      <c r="F8" s="59">
        <v>1.3</v>
      </c>
      <c r="G8" s="60">
        <v>15000</v>
      </c>
      <c r="H8" s="61">
        <f t="shared" si="0"/>
        <v>19500</v>
      </c>
      <c r="J8" s="75">
        <f t="shared" si="1"/>
        <v>89.575199999999995</v>
      </c>
      <c r="K8" s="67">
        <f t="shared" si="2"/>
        <v>1343628</v>
      </c>
    </row>
    <row r="9" spans="1:17" ht="16">
      <c r="B9" s="62"/>
      <c r="C9" s="62"/>
      <c r="D9" s="63"/>
      <c r="E9" s="64" t="s">
        <v>509</v>
      </c>
      <c r="F9" s="120">
        <f>$F$4</f>
        <v>68.903999999999996</v>
      </c>
      <c r="G9" s="65">
        <f>SUM(H5:H8)</f>
        <v>25500</v>
      </c>
      <c r="H9" s="65">
        <f t="shared" ref="H9" si="3">ROUND(F9*G9,3)</f>
        <v>1757052</v>
      </c>
      <c r="K9" s="76">
        <f>SUM(K5:K8)</f>
        <v>1757052</v>
      </c>
    </row>
    <row r="11" spans="1:17">
      <c r="C11" s="66"/>
    </row>
  </sheetData>
  <dataValidations count="1">
    <dataValidation type="list" allowBlank="1" showErrorMessage="1" sqref="C9 C4" xr:uid="{F8711DDC-71EC-4100-B16B-790638757E74}">
      <formula1>"Capítulo,Partida,Mano de obra,Maquinaria,Material,Otros,Tarea"</formula1>
    </dataValidation>
  </dataValidations>
  <hyperlinks>
    <hyperlink ref="B1" location="'01.- Presupuesto'!A1" display="02.- Presupuesto'!A1" xr:uid="{9DDCBD22-C3CB-244F-9219-8DCE9796A6F9}"/>
  </hyperlinks>
  <pageMargins left="0.7" right="0.7" top="0.75" bottom="0.75" header="0.3" footer="0.3"/>
  <pageSetup orientation="portrait" horizontalDpi="0" verticalDpi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1C5F-F8FC-4F41-95DF-3A82F0BAF1DC}">
  <sheetPr>
    <tabColor theme="9" tint="0.59999389629810485"/>
  </sheetPr>
  <dimension ref="A1:Q14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10.164062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247</v>
      </c>
      <c r="C4" s="53" t="s">
        <v>36</v>
      </c>
      <c r="D4" s="148" t="str">
        <f>'01.- Presupuesto'!F133</f>
        <v>m2</v>
      </c>
      <c r="E4" s="149" t="str">
        <f>'01.- Presupuesto'!C133</f>
        <v>Suministro e instalación de moldaje para pedestal fundaciones y vigas</v>
      </c>
      <c r="F4" s="73">
        <f>'01.- Presupuesto'!G133</f>
        <v>93.72</v>
      </c>
      <c r="G4" s="55">
        <f>G12</f>
        <v>16475.795999999998</v>
      </c>
      <c r="H4" s="55">
        <f>H12</f>
        <v>1544111.601</v>
      </c>
      <c r="J4" s="74" t="s">
        <v>30</v>
      </c>
      <c r="K4" s="74" t="s">
        <v>37</v>
      </c>
      <c r="M4" s="70">
        <f>SUMIF(C5:C24,"Material",K5:K24)</f>
        <v>1109250.8011200002</v>
      </c>
      <c r="N4" s="70">
        <f>SUMIF(C5:C24,"Mano de Obra",K5:K24)</f>
        <v>362384.03123999998</v>
      </c>
      <c r="O4" s="70">
        <f>SUMIF(C5:C24,"Subcontrato",K5:K24)</f>
        <v>0</v>
      </c>
      <c r="P4" s="70">
        <f>SUMIF(C5:C24,"Ser&amp;Arr",K5:K24)</f>
        <v>72476.768759999992</v>
      </c>
      <c r="Q4" s="71">
        <f>SUM(M4:P4)</f>
        <v>1544111.60112</v>
      </c>
    </row>
    <row r="5" spans="1:17" ht="16">
      <c r="B5" s="56"/>
      <c r="C5" s="56" t="s">
        <v>38</v>
      </c>
      <c r="D5" s="57" t="s">
        <v>39</v>
      </c>
      <c r="E5" s="58" t="s">
        <v>390</v>
      </c>
      <c r="F5" s="59">
        <f>1/0.48</f>
        <v>2.0833333333333335</v>
      </c>
      <c r="G5" s="60">
        <v>2400</v>
      </c>
      <c r="H5" s="61">
        <f t="shared" ref="H5:H10" si="0">ROUND(F5*G5,3)</f>
        <v>5000</v>
      </c>
      <c r="J5" s="75">
        <f>F5*$F$4</f>
        <v>195.25</v>
      </c>
      <c r="K5" s="67">
        <f>H5*$F$4</f>
        <v>468600</v>
      </c>
    </row>
    <row r="6" spans="1:17" ht="16">
      <c r="B6" s="56"/>
      <c r="C6" s="56" t="s">
        <v>38</v>
      </c>
      <c r="D6" s="57" t="s">
        <v>39</v>
      </c>
      <c r="E6" s="58" t="s">
        <v>391</v>
      </c>
      <c r="F6" s="59">
        <f>1.05*1/(1.22*2.44)</f>
        <v>0.35272776135447464</v>
      </c>
      <c r="G6" s="60">
        <v>16966</v>
      </c>
      <c r="H6" s="61">
        <f t="shared" si="0"/>
        <v>5984.3789999999999</v>
      </c>
      <c r="J6" s="75">
        <f t="shared" ref="J6:J10" si="1">F6*$F$4</f>
        <v>33.057645794141365</v>
      </c>
      <c r="K6" s="67">
        <f t="shared" ref="K6:K10" si="2">H6*$F$4</f>
        <v>560855.99988000002</v>
      </c>
    </row>
    <row r="7" spans="1:17" ht="16">
      <c r="B7" s="56"/>
      <c r="C7" s="56" t="s">
        <v>38</v>
      </c>
      <c r="D7" s="57" t="s">
        <v>75</v>
      </c>
      <c r="E7" s="58" t="s">
        <v>392</v>
      </c>
      <c r="F7" s="59">
        <f>1/4</f>
        <v>0.25</v>
      </c>
      <c r="G7" s="60">
        <v>1184</v>
      </c>
      <c r="H7" s="61">
        <f t="shared" si="0"/>
        <v>296</v>
      </c>
      <c r="J7" s="75">
        <f t="shared" si="1"/>
        <v>23.43</v>
      </c>
      <c r="K7" s="67">
        <f t="shared" si="2"/>
        <v>27741.119999999999</v>
      </c>
    </row>
    <row r="8" spans="1:17" ht="16">
      <c r="B8" s="56"/>
      <c r="C8" s="56" t="s">
        <v>38</v>
      </c>
      <c r="D8" s="57" t="s">
        <v>39</v>
      </c>
      <c r="E8" s="58" t="s">
        <v>393</v>
      </c>
      <c r="F8" s="59">
        <f>1/72</f>
        <v>1.3888888888888888E-2</v>
      </c>
      <c r="G8" s="60">
        <v>39990</v>
      </c>
      <c r="H8" s="61">
        <f t="shared" si="0"/>
        <v>555.41700000000003</v>
      </c>
      <c r="J8" s="75">
        <f t="shared" si="1"/>
        <v>1.3016666666666665</v>
      </c>
      <c r="K8" s="67">
        <f t="shared" si="2"/>
        <v>52053.681240000005</v>
      </c>
    </row>
    <row r="9" spans="1:17" ht="16">
      <c r="B9" s="56"/>
      <c r="C9" s="56" t="s">
        <v>40</v>
      </c>
      <c r="D9" s="57" t="s">
        <v>41</v>
      </c>
      <c r="E9" s="58" t="s">
        <v>90</v>
      </c>
      <c r="F9" s="59">
        <f>0.3</f>
        <v>0.3</v>
      </c>
      <c r="G9" s="60">
        <f>Maestro</f>
        <v>7250</v>
      </c>
      <c r="H9" s="61">
        <f t="shared" si="0"/>
        <v>2175</v>
      </c>
      <c r="J9" s="75">
        <f t="shared" si="1"/>
        <v>28.116</v>
      </c>
      <c r="K9" s="67">
        <f t="shared" si="2"/>
        <v>203841</v>
      </c>
    </row>
    <row r="10" spans="1:17" ht="16">
      <c r="B10" s="56"/>
      <c r="C10" s="56" t="s">
        <v>40</v>
      </c>
      <c r="D10" s="57" t="s">
        <v>41</v>
      </c>
      <c r="E10" s="58" t="s">
        <v>91</v>
      </c>
      <c r="F10" s="59">
        <f>0.3</f>
        <v>0.3</v>
      </c>
      <c r="G10" s="60">
        <f>Ayudante</f>
        <v>5638.8888888888887</v>
      </c>
      <c r="H10" s="61">
        <f t="shared" si="0"/>
        <v>1691.6669999999999</v>
      </c>
      <c r="J10" s="75">
        <f t="shared" si="1"/>
        <v>28.116</v>
      </c>
      <c r="K10" s="67">
        <f t="shared" si="2"/>
        <v>158543.03123999998</v>
      </c>
    </row>
    <row r="11" spans="1:17" ht="16">
      <c r="B11" s="56"/>
      <c r="C11" s="56" t="s">
        <v>54</v>
      </c>
      <c r="D11" s="57" t="s">
        <v>42</v>
      </c>
      <c r="E11" s="58" t="s">
        <v>55</v>
      </c>
      <c r="F11" s="59">
        <v>0.2</v>
      </c>
      <c r="G11" s="60">
        <f>SUM(H9:H10)</f>
        <v>3866.6669999999999</v>
      </c>
      <c r="H11" s="61">
        <f>ROUND(F11*G11,3)</f>
        <v>773.33299999999997</v>
      </c>
      <c r="J11" s="75">
        <f>F11*$F$4</f>
        <v>18.744</v>
      </c>
      <c r="K11" s="67">
        <f>H11*$F$4</f>
        <v>72476.768759999992</v>
      </c>
    </row>
    <row r="12" spans="1:17" ht="16">
      <c r="B12" s="62"/>
      <c r="C12" s="62"/>
      <c r="D12" s="63"/>
      <c r="E12" s="64" t="s">
        <v>510</v>
      </c>
      <c r="F12" s="120">
        <f>$F$4</f>
        <v>93.72</v>
      </c>
      <c r="G12" s="65">
        <f>SUM(H5:H11)</f>
        <v>16475.795999999998</v>
      </c>
      <c r="H12" s="65">
        <f t="shared" ref="H12" si="3">ROUND(F12*G12,3)</f>
        <v>1544111.601</v>
      </c>
      <c r="K12" s="76">
        <f>SUM(K5:K11)</f>
        <v>1544111.60112</v>
      </c>
    </row>
    <row r="14" spans="1:17">
      <c r="C14" s="66"/>
    </row>
  </sheetData>
  <dataValidations count="1">
    <dataValidation type="list" allowBlank="1" showErrorMessage="1" sqref="C12 C4" xr:uid="{72941CDE-61F0-42F8-994F-A961BF56711A}">
      <formula1>"Capítulo,Partida,Mano de obra,Maquinaria,Material,Otros,Tarea"</formula1>
    </dataValidation>
  </dataValidations>
  <hyperlinks>
    <hyperlink ref="B1" location="'01.- Presupuesto'!A1" display="02.- Presupuesto'!A1" xr:uid="{0F85AC7E-0525-C948-B59E-BD882E481B7C}"/>
  </hyperlinks>
  <pageMargins left="0.7" right="0.7" top="0.75" bottom="0.75" header="0.3" footer="0.3"/>
  <pageSetup orientation="portrait" horizontalDpi="0" verticalDpi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6EAA-24D3-464B-8F51-C2CB8579F466}">
  <sheetPr>
    <tabColor theme="9" tint="0.59999389629810485"/>
  </sheetPr>
  <dimension ref="A1:Q14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248</v>
      </c>
      <c r="C4" s="53" t="s">
        <v>36</v>
      </c>
      <c r="D4" s="148" t="str">
        <f>'01.- Presupuesto'!F134</f>
        <v>m3</v>
      </c>
      <c r="E4" s="149" t="str">
        <f>'01.- Presupuesto'!C134</f>
        <v>Suministro e instalación relleno estructural compactado, 50 cm bajo fundación y sobreancho de 50 cm</v>
      </c>
      <c r="F4" s="73">
        <f>'01.- Presupuesto'!G134</f>
        <v>54.32</v>
      </c>
      <c r="G4" s="55">
        <f>G12</f>
        <v>40941.073000000004</v>
      </c>
      <c r="H4" s="55">
        <f>H12</f>
        <v>2223919.085</v>
      </c>
      <c r="J4" s="74" t="s">
        <v>30</v>
      </c>
      <c r="K4" s="74" t="s">
        <v>37</v>
      </c>
      <c r="M4" s="70">
        <f>SUMIF(C5:C24,"Material",K5:K24)</f>
        <v>1553552</v>
      </c>
      <c r="N4" s="70">
        <f>SUMIF(C5:C24,"Mano de Obra",K5:K24)</f>
        <v>0</v>
      </c>
      <c r="O4" s="70">
        <f>SUMIF(C5:C24,"Subcontrato",K5:K24)</f>
        <v>0</v>
      </c>
      <c r="P4" s="70">
        <f>SUMIF(C5:C24,"Ser&amp;Arr",K5:K24)</f>
        <v>670367.08536000003</v>
      </c>
      <c r="Q4" s="71">
        <f>SUM(M4:P4)</f>
        <v>2223919.0853599999</v>
      </c>
    </row>
    <row r="5" spans="1:17" ht="16">
      <c r="B5" s="56"/>
      <c r="C5" s="56" t="s">
        <v>38</v>
      </c>
      <c r="D5" s="57" t="s">
        <v>67</v>
      </c>
      <c r="E5" s="58" t="s">
        <v>355</v>
      </c>
      <c r="F5" s="59">
        <v>1.3</v>
      </c>
      <c r="G5" s="60">
        <f>Base100</f>
        <v>22000</v>
      </c>
      <c r="H5" s="61">
        <f t="shared" ref="H5:H11" si="0">ROUND(F5*G5,3)</f>
        <v>28600</v>
      </c>
      <c r="J5" s="75">
        <f>F5*$F$4</f>
        <v>70.616</v>
      </c>
      <c r="K5" s="67">
        <f>H5*$F$4</f>
        <v>1553552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1/20</f>
        <v>0.05</v>
      </c>
      <c r="G6" s="60">
        <f>Retroexcavadora</f>
        <v>32000</v>
      </c>
      <c r="H6" s="61">
        <f t="shared" si="0"/>
        <v>1600</v>
      </c>
      <c r="J6" s="75">
        <f t="shared" ref="J6:J10" si="1">F6*$F$4</f>
        <v>2.7160000000000002</v>
      </c>
      <c r="K6" s="67">
        <f t="shared" ref="K6:K10" si="2">H6*$F$4</f>
        <v>86912</v>
      </c>
    </row>
    <row r="7" spans="1:17" ht="16">
      <c r="B7" s="56"/>
      <c r="C7" s="56" t="s">
        <v>54</v>
      </c>
      <c r="D7" s="57" t="s">
        <v>348</v>
      </c>
      <c r="E7" s="58" t="s">
        <v>356</v>
      </c>
      <c r="F7" s="59">
        <f>1/20</f>
        <v>0.05</v>
      </c>
      <c r="G7" s="60">
        <f>Rodillo</f>
        <v>42000</v>
      </c>
      <c r="H7" s="61">
        <f t="shared" si="0"/>
        <v>2100</v>
      </c>
      <c r="J7" s="75">
        <f t="shared" si="1"/>
        <v>2.7160000000000002</v>
      </c>
      <c r="K7" s="67">
        <f t="shared" si="2"/>
        <v>114072</v>
      </c>
    </row>
    <row r="8" spans="1:17" ht="16">
      <c r="B8" s="56"/>
      <c r="C8" s="56" t="s">
        <v>54</v>
      </c>
      <c r="D8" s="57" t="s">
        <v>348</v>
      </c>
      <c r="E8" s="58" t="s">
        <v>357</v>
      </c>
      <c r="F8" s="59">
        <f>1/20</f>
        <v>0.05</v>
      </c>
      <c r="G8" s="60">
        <f>Aljibe</f>
        <v>32000</v>
      </c>
      <c r="H8" s="61">
        <f t="shared" si="0"/>
        <v>1600</v>
      </c>
      <c r="J8" s="75">
        <f t="shared" si="1"/>
        <v>2.7160000000000002</v>
      </c>
      <c r="K8" s="67">
        <f t="shared" si="2"/>
        <v>86912</v>
      </c>
    </row>
    <row r="9" spans="1:17" ht="16">
      <c r="B9" s="56"/>
      <c r="C9" s="56" t="s">
        <v>54</v>
      </c>
      <c r="D9" s="57" t="s">
        <v>76</v>
      </c>
      <c r="E9" s="58" t="s">
        <v>358</v>
      </c>
      <c r="F9" s="59">
        <f>1/F4</f>
        <v>1.8409425625920472E-2</v>
      </c>
      <c r="G9" s="60">
        <f>(0.6+4.4)*UF</f>
        <v>196335</v>
      </c>
      <c r="H9" s="61">
        <f t="shared" si="0"/>
        <v>3614.415</v>
      </c>
      <c r="J9" s="75">
        <f t="shared" si="1"/>
        <v>1</v>
      </c>
      <c r="K9" s="67">
        <f t="shared" si="2"/>
        <v>196335.02280000001</v>
      </c>
    </row>
    <row r="10" spans="1:17" ht="16">
      <c r="B10" s="56"/>
      <c r="C10" s="56" t="s">
        <v>54</v>
      </c>
      <c r="D10" s="57" t="s">
        <v>76</v>
      </c>
      <c r="E10" s="58" t="s">
        <v>359</v>
      </c>
      <c r="F10" s="59">
        <f>1/F4</f>
        <v>1.8409425625920472E-2</v>
      </c>
      <c r="G10" s="60">
        <f>1.3*UF</f>
        <v>51047.1</v>
      </c>
      <c r="H10" s="61">
        <f t="shared" si="0"/>
        <v>939.74800000000005</v>
      </c>
      <c r="J10" s="75">
        <f t="shared" si="1"/>
        <v>1</v>
      </c>
      <c r="K10" s="67">
        <f t="shared" si="2"/>
        <v>51047.111360000003</v>
      </c>
    </row>
    <row r="11" spans="1:17" ht="16">
      <c r="B11" s="56"/>
      <c r="C11" s="56" t="s">
        <v>54</v>
      </c>
      <c r="D11" s="57" t="s">
        <v>76</v>
      </c>
      <c r="E11" s="58" t="s">
        <v>360</v>
      </c>
      <c r="F11" s="59">
        <f>1/50</f>
        <v>0.02</v>
      </c>
      <c r="G11" s="60">
        <f>(1.7+4.4/3)*UF</f>
        <v>124345.50000000001</v>
      </c>
      <c r="H11" s="61">
        <f t="shared" si="0"/>
        <v>2486.91</v>
      </c>
      <c r="J11" s="75">
        <f>F11*$F$4</f>
        <v>1.0864</v>
      </c>
      <c r="K11" s="67">
        <f>H11*$F$4</f>
        <v>135088.95119999998</v>
      </c>
    </row>
    <row r="12" spans="1:17" ht="16">
      <c r="B12" s="62"/>
      <c r="C12" s="62"/>
      <c r="D12" s="63"/>
      <c r="E12" s="64" t="s">
        <v>511</v>
      </c>
      <c r="F12" s="120">
        <f>$F$4</f>
        <v>54.32</v>
      </c>
      <c r="G12" s="65">
        <f>SUM(H5:H11)</f>
        <v>40941.073000000004</v>
      </c>
      <c r="H12" s="65">
        <f t="shared" ref="H12" si="3">ROUND(F12*G12,3)</f>
        <v>2223919.085</v>
      </c>
      <c r="K12" s="76">
        <f>SUM(K5:K11)</f>
        <v>2223919.0853599999</v>
      </c>
    </row>
    <row r="14" spans="1:17">
      <c r="C14" s="66"/>
    </row>
  </sheetData>
  <dataValidations count="1">
    <dataValidation type="list" allowBlank="1" showErrorMessage="1" sqref="C12 C4" xr:uid="{CF01B6A0-9AD2-4620-B549-3851716B6A50}">
      <formula1>"Capítulo,Partida,Mano de obra,Maquinaria,Material,Otros,Tarea"</formula1>
    </dataValidation>
  </dataValidations>
  <hyperlinks>
    <hyperlink ref="B1" location="'01.- Presupuesto'!A1" display="02.- Presupuesto'!A1" xr:uid="{959A66B5-4F96-1546-851C-999CCE3C6E6E}"/>
  </hyperlinks>
  <pageMargins left="0.7" right="0.7" top="0.75" bottom="0.75" header="0.3" footer="0.3"/>
  <pageSetup orientation="portrait" horizontalDpi="0" verticalDpi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1558-F877-4E32-AB40-AE8F9E9BF890}">
  <sheetPr>
    <tabColor theme="9" tint="0.59999389629810485"/>
  </sheetPr>
  <dimension ref="A1:Q10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10.1640625" bestFit="1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249</v>
      </c>
      <c r="C4" s="53" t="s">
        <v>36</v>
      </c>
      <c r="D4" s="148" t="str">
        <f>'01.- Presupuesto'!F135</f>
        <v>kg</v>
      </c>
      <c r="E4" s="149" t="str">
        <f>'01.- Presupuesto'!C135</f>
        <v>Suministro e instalación enfierradura A630-420</v>
      </c>
      <c r="F4" s="73">
        <f>'01.- Presupuesto'!G135</f>
        <v>1887.4760000000001</v>
      </c>
      <c r="G4" s="55">
        <f>G8</f>
        <v>1644.3330000000001</v>
      </c>
      <c r="H4" s="55">
        <f>H8</f>
        <v>3103639.074</v>
      </c>
      <c r="J4" s="74" t="s">
        <v>30</v>
      </c>
      <c r="K4" s="74" t="s">
        <v>37</v>
      </c>
      <c r="M4" s="70">
        <f>SUMIF(C5:C20,"Material",K5:K20)</f>
        <v>1971153.4735080001</v>
      </c>
      <c r="N4" s="70">
        <f>SUMIF(C5:C20,"Mano de Obra",K5:K20)</f>
        <v>0</v>
      </c>
      <c r="O4" s="70">
        <f>SUMIF(C5:C20,"Subcontrato",K5:K20)</f>
        <v>1132485.6000000001</v>
      </c>
      <c r="P4" s="70">
        <f>SUMIF(C5:C20,"Ser&amp;Arr",K5:K20)</f>
        <v>0</v>
      </c>
      <c r="Q4" s="71">
        <f>SUM(M4:P4)</f>
        <v>3103639.073508</v>
      </c>
    </row>
    <row r="5" spans="1:17" ht="16">
      <c r="B5" s="56"/>
      <c r="C5" s="56" t="s">
        <v>38</v>
      </c>
      <c r="D5" s="57" t="s">
        <v>396</v>
      </c>
      <c r="E5" s="58" t="s">
        <v>395</v>
      </c>
      <c r="F5" s="59">
        <v>1.1000000000000001</v>
      </c>
      <c r="G5" s="60">
        <v>900</v>
      </c>
      <c r="H5" s="61">
        <f t="shared" ref="H5:H7" si="0">ROUND(F5*G5,3)</f>
        <v>990</v>
      </c>
      <c r="J5" s="75">
        <f>F5*$F$4</f>
        <v>2076.2236000000003</v>
      </c>
      <c r="K5" s="67">
        <f>H5*$F$4</f>
        <v>1868601.2400000002</v>
      </c>
    </row>
    <row r="6" spans="1:17" ht="16">
      <c r="B6" s="56"/>
      <c r="C6" s="56" t="s">
        <v>38</v>
      </c>
      <c r="D6" s="57" t="s">
        <v>396</v>
      </c>
      <c r="E6" s="58" t="s">
        <v>397</v>
      </c>
      <c r="F6" s="59">
        <f>1/30</f>
        <v>3.3333333333333333E-2</v>
      </c>
      <c r="G6" s="60">
        <v>1630</v>
      </c>
      <c r="H6" s="61">
        <f t="shared" si="0"/>
        <v>54.332999999999998</v>
      </c>
      <c r="J6" s="75">
        <f t="shared" ref="J6:J7" si="1">F6*$F$4</f>
        <v>62.915866666666666</v>
      </c>
      <c r="K6" s="67">
        <f t="shared" ref="K6:K7" si="2">H6*$F$4</f>
        <v>102552.233508</v>
      </c>
    </row>
    <row r="7" spans="1:17" ht="16">
      <c r="B7" s="56"/>
      <c r="C7" s="56" t="s">
        <v>94</v>
      </c>
      <c r="D7" s="57" t="s">
        <v>396</v>
      </c>
      <c r="E7" s="58" t="s">
        <v>482</v>
      </c>
      <c r="F7" s="59">
        <v>1</v>
      </c>
      <c r="G7" s="60">
        <f>Enf</f>
        <v>600</v>
      </c>
      <c r="H7" s="61">
        <f t="shared" si="0"/>
        <v>600</v>
      </c>
      <c r="J7" s="75">
        <f t="shared" si="1"/>
        <v>1887.4760000000001</v>
      </c>
      <c r="K7" s="67">
        <f t="shared" si="2"/>
        <v>1132485.6000000001</v>
      </c>
    </row>
    <row r="8" spans="1:17" ht="16">
      <c r="B8" s="62"/>
      <c r="C8" s="62"/>
      <c r="D8" s="63"/>
      <c r="E8" s="64" t="s">
        <v>431</v>
      </c>
      <c r="F8" s="120">
        <f>$F$4</f>
        <v>1887.4760000000001</v>
      </c>
      <c r="G8" s="65">
        <f>SUM(H5:H7)</f>
        <v>1644.3330000000001</v>
      </c>
      <c r="H8" s="65">
        <f t="shared" ref="H8" si="3">ROUND(F8*G8,3)</f>
        <v>3103639.074</v>
      </c>
      <c r="K8" s="76">
        <f>SUM(K5:K7)</f>
        <v>3103639.073508</v>
      </c>
    </row>
    <row r="10" spans="1:17">
      <c r="C10" s="66"/>
    </row>
  </sheetData>
  <dataValidations count="1">
    <dataValidation type="list" allowBlank="1" showErrorMessage="1" sqref="C8 C4" xr:uid="{3115A3E9-ED96-4DB1-8970-51F452893E7A}">
      <formula1>"Capítulo,Partida,Mano de obra,Maquinaria,Material,Otros,Tarea"</formula1>
    </dataValidation>
  </dataValidations>
  <hyperlinks>
    <hyperlink ref="B1" location="'01.- Presupuesto'!A1" display="02.- Presupuesto'!A1" xr:uid="{7E43AAAD-82F5-FC4E-A346-E3B8E13F1DB5}"/>
  </hyperlinks>
  <pageMargins left="0.7" right="0.7" top="0.75" bottom="0.75" header="0.3" footer="0.3"/>
  <pageSetup orientation="portrait" horizontalDpi="0" verticalDpi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7FE7-8F76-4DEE-BE8F-F52C064D033F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250</v>
      </c>
      <c r="C4" s="53" t="s">
        <v>36</v>
      </c>
      <c r="D4" s="148" t="str">
        <f>'01.- Presupuesto'!F136</f>
        <v>un</v>
      </c>
      <c r="E4" s="149" t="str">
        <f>'01.- Presupuesto'!C136</f>
        <v>Suministro e instalación de anclajes</v>
      </c>
      <c r="F4" s="73">
        <f>'01.- Presupuesto'!G136</f>
        <v>64</v>
      </c>
      <c r="G4" s="55">
        <f>G9</f>
        <v>11342.214</v>
      </c>
      <c r="H4" s="55">
        <f>H9</f>
        <v>725901.696</v>
      </c>
      <c r="J4" s="74" t="s">
        <v>30</v>
      </c>
      <c r="K4" s="74" t="s">
        <v>37</v>
      </c>
      <c r="M4" s="70">
        <f>SUMIF(C5:C21,"Material",K5:K21)</f>
        <v>633101.696</v>
      </c>
      <c r="N4" s="70">
        <f>SUMIF(C5:C21,"Mano de Obra",K5:K21)</f>
        <v>77333.312000000005</v>
      </c>
      <c r="O4" s="70">
        <f>SUMIF(C5:C21,"Subcontrato",K5:K21)</f>
        <v>0</v>
      </c>
      <c r="P4" s="70">
        <f>SUMIF(C5:C21,"Ser&amp;Arr",K5:K21)</f>
        <v>15466.688</v>
      </c>
      <c r="Q4" s="71">
        <f>SUM(M4:P4)</f>
        <v>725901.696</v>
      </c>
    </row>
    <row r="5" spans="1:17" ht="16">
      <c r="B5" s="56"/>
      <c r="C5" s="56" t="s">
        <v>38</v>
      </c>
      <c r="D5" s="57" t="s">
        <v>39</v>
      </c>
      <c r="E5" s="58" t="s">
        <v>435</v>
      </c>
      <c r="F5" s="59">
        <v>1</v>
      </c>
      <c r="G5" s="60">
        <v>9600</v>
      </c>
      <c r="H5" s="61">
        <f t="shared" ref="H5:H7" si="0">ROUND(F5*G5,3)</f>
        <v>9600</v>
      </c>
      <c r="J5" s="75">
        <f>F5*$F$4</f>
        <v>64</v>
      </c>
      <c r="K5" s="67">
        <f>H5*$F$4</f>
        <v>614400</v>
      </c>
    </row>
    <row r="6" spans="1:17" ht="16">
      <c r="B6" s="56"/>
      <c r="C6" s="56" t="s">
        <v>38</v>
      </c>
      <c r="D6" s="57" t="s">
        <v>39</v>
      </c>
      <c r="E6" s="58" t="s">
        <v>433</v>
      </c>
      <c r="F6" s="59">
        <f>1.1*1/49</f>
        <v>2.2448979591836737E-2</v>
      </c>
      <c r="G6" s="60">
        <f>15490/1.19</f>
        <v>13016.806722689076</v>
      </c>
      <c r="H6" s="61">
        <f t="shared" si="0"/>
        <v>292.214</v>
      </c>
      <c r="J6" s="75">
        <f t="shared" ref="J6:J8" si="1">F6*$F$4</f>
        <v>1.4367346938775512</v>
      </c>
      <c r="K6" s="67">
        <f t="shared" ref="K6:K8" si="2">H6*$F$4</f>
        <v>18701.696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1/6</f>
        <v>0.16666666666666666</v>
      </c>
      <c r="G7" s="60">
        <f>Maestro</f>
        <v>7250</v>
      </c>
      <c r="H7" s="61">
        <f t="shared" si="0"/>
        <v>1208.3330000000001</v>
      </c>
      <c r="J7" s="75">
        <f t="shared" si="1"/>
        <v>10.666666666666666</v>
      </c>
      <c r="K7" s="67">
        <f t="shared" si="2"/>
        <v>77333.312000000005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SUM(H7:H7)</f>
        <v>1208.3330000000001</v>
      </c>
      <c r="H8" s="61">
        <f>ROUND(F8*G8,3)</f>
        <v>241.667</v>
      </c>
      <c r="J8" s="75">
        <f t="shared" si="1"/>
        <v>12.8</v>
      </c>
      <c r="K8" s="67">
        <f t="shared" si="2"/>
        <v>15466.688</v>
      </c>
    </row>
    <row r="9" spans="1:17" ht="16">
      <c r="B9" s="62"/>
      <c r="C9" s="62"/>
      <c r="D9" s="63"/>
      <c r="E9" s="64" t="s">
        <v>440</v>
      </c>
      <c r="F9" s="120">
        <f>$F$4</f>
        <v>64</v>
      </c>
      <c r="G9" s="65">
        <f>SUM(H5:H8)</f>
        <v>11342.214</v>
      </c>
      <c r="H9" s="65">
        <f t="shared" ref="H9" si="3">ROUND(F9*G9,3)</f>
        <v>725901.696</v>
      </c>
      <c r="K9" s="76">
        <f>SUM(K5:K8)</f>
        <v>725901.696</v>
      </c>
    </row>
    <row r="11" spans="1:17">
      <c r="C11" s="66"/>
    </row>
  </sheetData>
  <dataValidations count="1">
    <dataValidation type="list" allowBlank="1" showErrorMessage="1" sqref="C9 C4" xr:uid="{A7F43961-4BDF-4D87-BCD1-FEA9CBF45609}">
      <formula1>"Capítulo,Partida,Mano de obra,Maquinaria,Material,Otros,Tarea"</formula1>
    </dataValidation>
  </dataValidations>
  <hyperlinks>
    <hyperlink ref="B1" location="'01.- Presupuesto'!A1" display="02.- Presupuesto'!A1" xr:uid="{B0421159-CC16-724C-8811-C4B5E88C8F4E}"/>
  </hyperlinks>
  <pageMargins left="0.7" right="0.7" top="0.75" bottom="0.75" header="0.3" footer="0.3"/>
  <pageSetup orientation="portrait" horizontalDpi="0" verticalDpi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CA23-0BC7-4A0A-9548-D42167E74F4D}">
  <sheetPr>
    <tabColor theme="9" tint="0.59999389629810485"/>
  </sheetPr>
  <dimension ref="A1:Q15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256</v>
      </c>
      <c r="C4" s="53" t="s">
        <v>36</v>
      </c>
      <c r="D4" s="148" t="str">
        <f>'01.- Presupuesto'!F138</f>
        <v>m3</v>
      </c>
      <c r="E4" s="149" t="str">
        <f>'01.- Presupuesto'!C138</f>
        <v>Suministro y construcción hormigón G15, espesor 15 cm</v>
      </c>
      <c r="F4" s="73">
        <f>'01.- Presupuesto'!G138</f>
        <v>48.824999999999996</v>
      </c>
      <c r="G4" s="55">
        <f>G13</f>
        <v>133729.40100000001</v>
      </c>
      <c r="H4" s="55">
        <f>H13</f>
        <v>6529338.0039999997</v>
      </c>
      <c r="J4" s="74" t="s">
        <v>30</v>
      </c>
      <c r="K4" s="74" t="s">
        <v>37</v>
      </c>
      <c r="M4" s="70">
        <f>SUMIF(C5:C25,"Material",K5:K25)</f>
        <v>5689439.5146749998</v>
      </c>
      <c r="N4" s="70">
        <f>SUMIF(C5:C25,"Mano de Obra",K5:K25)</f>
        <v>469352.91847500001</v>
      </c>
      <c r="O4" s="70">
        <f>SUMIF(C5:C25,"Subcontrato",K5:K25)</f>
        <v>0</v>
      </c>
      <c r="P4" s="70">
        <f>SUMIF(C5:C25,"Ser&amp;Arr",K5:K25)</f>
        <v>370545.57067499997</v>
      </c>
      <c r="Q4" s="71">
        <f>SUM(M4:P4)</f>
        <v>6529338.0038249996</v>
      </c>
    </row>
    <row r="5" spans="1:17" ht="16">
      <c r="B5" s="56"/>
      <c r="C5" s="56" t="s">
        <v>38</v>
      </c>
      <c r="D5" s="57" t="s">
        <v>67</v>
      </c>
      <c r="E5" s="58" t="s">
        <v>441</v>
      </c>
      <c r="F5" s="59">
        <v>1.1000000000000001</v>
      </c>
      <c r="G5" s="60">
        <f>HormG15</f>
        <v>104842.89</v>
      </c>
      <c r="H5" s="61">
        <f t="shared" ref="H5:H8" si="0">ROUND(F5*G5,3)</f>
        <v>115327.179</v>
      </c>
      <c r="J5" s="75">
        <f>F5*$F$4</f>
        <v>53.707500000000003</v>
      </c>
      <c r="K5" s="67">
        <f>H5*$F$4</f>
        <v>5630849.5146749998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</f>
        <v>0.1</v>
      </c>
      <c r="G6" s="60">
        <v>12000</v>
      </c>
      <c r="H6" s="61">
        <f t="shared" si="0"/>
        <v>1200</v>
      </c>
      <c r="J6" s="75">
        <f t="shared" ref="J6:J11" si="1">F6*$F$4</f>
        <v>4.8825000000000003</v>
      </c>
      <c r="K6" s="67">
        <f t="shared" ref="K6:K11" si="2">H6*$F$4</f>
        <v>58589.999999999993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</f>
        <v>0.33333333333333331</v>
      </c>
      <c r="G7" s="60">
        <f>Maestro</f>
        <v>7250</v>
      </c>
      <c r="H7" s="61">
        <f t="shared" si="0"/>
        <v>2416.6669999999999</v>
      </c>
      <c r="J7" s="75">
        <f t="shared" ref="J7:J8" si="3">F7*$F$4</f>
        <v>16.274999999999999</v>
      </c>
      <c r="K7" s="67">
        <f t="shared" ref="K7:K8" si="4">H7*$F$4</f>
        <v>117993.76627499999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</f>
        <v>1.3333333333333333</v>
      </c>
      <c r="G8" s="60">
        <f>Jornal</f>
        <v>5397.2222222222226</v>
      </c>
      <c r="H8" s="61">
        <f t="shared" si="0"/>
        <v>7196.2960000000003</v>
      </c>
      <c r="J8" s="75">
        <f t="shared" si="3"/>
        <v>65.099999999999994</v>
      </c>
      <c r="K8" s="67">
        <f t="shared" si="4"/>
        <v>351359.15220000001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9612.9629999999997</v>
      </c>
      <c r="H9" s="61">
        <f>ROUND(F9*G9,3)</f>
        <v>1922.5930000000001</v>
      </c>
      <c r="J9" s="75">
        <f t="shared" si="1"/>
        <v>9.7650000000000006</v>
      </c>
      <c r="K9" s="67">
        <f t="shared" si="2"/>
        <v>93870.603224999999</v>
      </c>
    </row>
    <row r="10" spans="1:17" ht="16">
      <c r="B10" s="56"/>
      <c r="C10" s="56" t="s">
        <v>54</v>
      </c>
      <c r="D10" s="57" t="s">
        <v>71</v>
      </c>
      <c r="E10" s="58" t="s">
        <v>372</v>
      </c>
      <c r="F10" s="59">
        <f>1/3</f>
        <v>0.33333333333333331</v>
      </c>
      <c r="G10" s="60">
        <f>3500+3500</f>
        <v>7000</v>
      </c>
      <c r="H10" s="61">
        <f>ROUND(F10*G10,3)</f>
        <v>2333.3330000000001</v>
      </c>
      <c r="J10" s="75">
        <f t="shared" si="1"/>
        <v>16.274999999999999</v>
      </c>
      <c r="K10" s="67">
        <f t="shared" si="2"/>
        <v>113924.983725</v>
      </c>
    </row>
    <row r="11" spans="1:17" ht="16">
      <c r="B11" s="56"/>
      <c r="C11" s="56" t="s">
        <v>54</v>
      </c>
      <c r="D11" s="57" t="s">
        <v>71</v>
      </c>
      <c r="E11" s="58" t="s">
        <v>373</v>
      </c>
      <c r="F11" s="59">
        <f>1/3</f>
        <v>0.33333333333333331</v>
      </c>
      <c r="G11" s="60">
        <f>3500+3500</f>
        <v>7000</v>
      </c>
      <c r="H11" s="61">
        <f>ROUND(F11*G11,3)</f>
        <v>2333.3330000000001</v>
      </c>
      <c r="J11" s="75">
        <f t="shared" si="1"/>
        <v>16.274999999999999</v>
      </c>
      <c r="K11" s="67">
        <f t="shared" si="2"/>
        <v>113924.983725</v>
      </c>
    </row>
    <row r="12" spans="1:17" ht="16">
      <c r="B12" s="56"/>
      <c r="C12" s="56" t="s">
        <v>54</v>
      </c>
      <c r="D12" s="57" t="s">
        <v>76</v>
      </c>
      <c r="E12" s="58" t="s">
        <v>368</v>
      </c>
      <c r="F12" s="59">
        <f>1/50</f>
        <v>0.02</v>
      </c>
      <c r="G12" s="60">
        <v>50000</v>
      </c>
      <c r="H12" s="61">
        <f>ROUND(F12*G12,3)</f>
        <v>1000</v>
      </c>
      <c r="J12" s="75">
        <f>F12*$F$4</f>
        <v>0.97649999999999992</v>
      </c>
      <c r="K12" s="67">
        <f>H12*$F$4</f>
        <v>48824.999999999993</v>
      </c>
    </row>
    <row r="13" spans="1:17" ht="16">
      <c r="B13" s="62"/>
      <c r="C13" s="62"/>
      <c r="D13" s="63"/>
      <c r="E13" s="64" t="s">
        <v>474</v>
      </c>
      <c r="F13" s="120">
        <f>$F$4</f>
        <v>48.824999999999996</v>
      </c>
      <c r="G13" s="65">
        <f>SUM(H5:H12)</f>
        <v>133729.40100000001</v>
      </c>
      <c r="H13" s="65">
        <f t="shared" ref="H13" si="5">ROUND(F13*G13,3)</f>
        <v>6529338.0039999997</v>
      </c>
      <c r="K13" s="76">
        <f>SUM(K5:K12)</f>
        <v>6529338.0038250005</v>
      </c>
    </row>
    <row r="15" spans="1:17">
      <c r="C15" s="66"/>
    </row>
  </sheetData>
  <dataValidations count="1">
    <dataValidation type="list" allowBlank="1" showErrorMessage="1" sqref="C13 C4" xr:uid="{1D948213-3CF1-409B-93F1-092C22151F08}">
      <formula1>"Capítulo,Partida,Mano de obra,Maquinaria,Material,Otros,Tarea"</formula1>
    </dataValidation>
  </dataValidations>
  <hyperlinks>
    <hyperlink ref="B1" location="'01.- Presupuesto'!A1" display="02.- Presupuesto'!A1" xr:uid="{3C0B19F4-20AF-714E-8C2B-40C11350173E}"/>
  </hyperlinks>
  <pageMargins left="0.7" right="0.7" top="0.75" bottom="0.75" header="0.3" footer="0.3"/>
  <pageSetup orientation="portrait" horizontalDpi="0" verticalDpi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0523-0213-4624-A732-EEB6B907FD52}">
  <sheetPr>
    <tabColor theme="9" tint="0.59999389629810485"/>
  </sheetPr>
  <dimension ref="A1:Q13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257</v>
      </c>
      <c r="C4" s="53" t="s">
        <v>36</v>
      </c>
      <c r="D4" s="148" t="str">
        <f>'01.- Presupuesto'!F139</f>
        <v>m3</v>
      </c>
      <c r="E4" s="149" t="str">
        <f>'01.- Presupuesto'!C139</f>
        <v>Suministro e instalación grava limpia de 2 1/2" y contenido de finos inferior a 15%</v>
      </c>
      <c r="F4" s="73">
        <f>'01.- Presupuesto'!G139</f>
        <v>32.550000000000004</v>
      </c>
      <c r="G4" s="55">
        <f>G11</f>
        <v>39886.583000000006</v>
      </c>
      <c r="H4" s="55">
        <f>H11</f>
        <v>1298308.277</v>
      </c>
      <c r="J4" s="74" t="s">
        <v>30</v>
      </c>
      <c r="K4" s="74" t="s">
        <v>37</v>
      </c>
      <c r="M4" s="70">
        <f>SUMIF(C5:C23,"Material",K5:K23)</f>
        <v>1184820.0000000002</v>
      </c>
      <c r="N4" s="70">
        <f>SUMIF(C5:C23,"Mano de Obra",K5:K23)</f>
        <v>46935.277200000004</v>
      </c>
      <c r="O4" s="70">
        <f>SUMIF(C5:C23,"Subcontrato",K5:K23)</f>
        <v>0</v>
      </c>
      <c r="P4" s="70">
        <f>SUMIF(C5:C23,"Ser&amp;Arr",K5:K23)</f>
        <v>66552.999450000018</v>
      </c>
      <c r="Q4" s="71">
        <f>SUM(M4:P4)</f>
        <v>1298308.2766500001</v>
      </c>
    </row>
    <row r="5" spans="1:17" ht="16">
      <c r="B5" s="56"/>
      <c r="C5" s="56" t="s">
        <v>38</v>
      </c>
      <c r="D5" s="57" t="s">
        <v>67</v>
      </c>
      <c r="E5" s="58" t="s">
        <v>513</v>
      </c>
      <c r="F5" s="59">
        <v>1.3</v>
      </c>
      <c r="G5" s="60">
        <f>Grava</f>
        <v>28000</v>
      </c>
      <c r="H5" s="61">
        <f t="shared" ref="H5:H10" si="0">ROUND(F5*G5,3)</f>
        <v>36400</v>
      </c>
      <c r="J5" s="75">
        <f>F5*$F$4</f>
        <v>42.315000000000005</v>
      </c>
      <c r="K5" s="67">
        <f>H5*$F$4</f>
        <v>1184820.0000000002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1/20</f>
        <v>0.05</v>
      </c>
      <c r="G6" s="60">
        <f>Maestro</f>
        <v>7250</v>
      </c>
      <c r="H6" s="61">
        <f t="shared" si="0"/>
        <v>362.5</v>
      </c>
      <c r="J6" s="75">
        <f t="shared" ref="J6:J10" si="1">F6*$F$4</f>
        <v>1.6275000000000004</v>
      </c>
      <c r="K6" s="67">
        <f t="shared" ref="K6:K10" si="2">H6*$F$4</f>
        <v>11799.375000000002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4*1/20</f>
        <v>0.2</v>
      </c>
      <c r="G7" s="60">
        <f>Jornal</f>
        <v>5397.2222222222226</v>
      </c>
      <c r="H7" s="61">
        <f t="shared" si="0"/>
        <v>1079.444</v>
      </c>
      <c r="J7" s="75">
        <f t="shared" si="1"/>
        <v>6.5100000000000016</v>
      </c>
      <c r="K7" s="67">
        <f t="shared" si="2"/>
        <v>35135.902200000004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1441.944</v>
      </c>
      <c r="H8" s="61">
        <f>ROUND(F8*G8,3)</f>
        <v>288.38900000000001</v>
      </c>
      <c r="J8" s="75">
        <f t="shared" si="1"/>
        <v>6.5100000000000016</v>
      </c>
      <c r="K8" s="67">
        <f t="shared" si="2"/>
        <v>9387.0619500000012</v>
      </c>
    </row>
    <row r="9" spans="1:17" ht="16">
      <c r="B9" s="56"/>
      <c r="C9" s="56" t="s">
        <v>54</v>
      </c>
      <c r="D9" s="57" t="s">
        <v>348</v>
      </c>
      <c r="E9" s="58" t="s">
        <v>350</v>
      </c>
      <c r="F9" s="59">
        <f>1/20</f>
        <v>0.05</v>
      </c>
      <c r="G9" s="60">
        <f>Retroexcavadora</f>
        <v>32000</v>
      </c>
      <c r="H9" s="61">
        <f t="shared" si="0"/>
        <v>1600</v>
      </c>
      <c r="J9" s="75">
        <f t="shared" si="1"/>
        <v>1.6275000000000004</v>
      </c>
      <c r="K9" s="67">
        <f t="shared" si="2"/>
        <v>52080.000000000007</v>
      </c>
    </row>
    <row r="10" spans="1:17" ht="16">
      <c r="B10" s="56"/>
      <c r="C10" s="56" t="s">
        <v>54</v>
      </c>
      <c r="D10" s="57" t="s">
        <v>71</v>
      </c>
      <c r="E10" s="58" t="s">
        <v>385</v>
      </c>
      <c r="F10" s="59">
        <f>1/20/8</f>
        <v>6.2500000000000003E-3</v>
      </c>
      <c r="G10" s="60">
        <v>25000</v>
      </c>
      <c r="H10" s="61">
        <f t="shared" si="0"/>
        <v>156.25</v>
      </c>
      <c r="J10" s="75">
        <f t="shared" si="1"/>
        <v>0.20343750000000005</v>
      </c>
      <c r="K10" s="67">
        <f t="shared" si="2"/>
        <v>5085.9375000000009</v>
      </c>
    </row>
    <row r="11" spans="1:17" ht="16">
      <c r="B11" s="62"/>
      <c r="C11" s="62"/>
      <c r="D11" s="63"/>
      <c r="E11" s="64" t="s">
        <v>43</v>
      </c>
      <c r="F11" s="120">
        <f>$F$4</f>
        <v>32.550000000000004</v>
      </c>
      <c r="G11" s="65">
        <f>SUM(H5:H10)</f>
        <v>39886.583000000006</v>
      </c>
      <c r="H11" s="65">
        <f t="shared" ref="H11" si="3">ROUND(F11*G11,3)</f>
        <v>1298308.277</v>
      </c>
      <c r="K11" s="76">
        <f>SUM(K5:K10)</f>
        <v>1298308.2766500001</v>
      </c>
    </row>
    <row r="13" spans="1:17">
      <c r="C13" s="66"/>
    </row>
  </sheetData>
  <dataValidations count="1">
    <dataValidation type="list" allowBlank="1" showErrorMessage="1" sqref="C11 C4" xr:uid="{27DC7EB6-7B6E-4972-ADFA-B2F2B5E5D824}">
      <formula1>"Capítulo,Partida,Mano de obra,Maquinaria,Material,Otros,Tarea"</formula1>
    </dataValidation>
  </dataValidations>
  <hyperlinks>
    <hyperlink ref="B1" location="'01.- Presupuesto'!A1" display="02.- Presupuesto'!A1" xr:uid="{B45DE4EF-7F73-4D4E-831D-E305BDE19B51}"/>
  </hyperlinks>
  <pageMargins left="0.7" right="0.7" top="0.75" bottom="0.75" header="0.3" footer="0.3"/>
  <pageSetup orientation="portrait" horizontalDpi="0" verticalDpi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76B0-2DF0-48FE-93D3-E87F2841FE70}">
  <sheetPr>
    <tabColor theme="9" tint="0.59999389629810485"/>
  </sheetPr>
  <dimension ref="A1:Q11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258</v>
      </c>
      <c r="C4" s="53" t="s">
        <v>36</v>
      </c>
      <c r="D4" s="148" t="str">
        <f>'01.- Presupuesto'!F140</f>
        <v>m2</v>
      </c>
      <c r="E4" s="149" t="str">
        <f>'01.- Presupuesto'!C140</f>
        <v>Geotextil calidad según Manual de carreteras</v>
      </c>
      <c r="F4" s="73">
        <f>'01.- Presupuesto'!G140</f>
        <v>325.5</v>
      </c>
      <c r="G4" s="55">
        <f>G9</f>
        <v>1623.5329999999999</v>
      </c>
      <c r="H4" s="55">
        <f>H9</f>
        <v>528459.99199999997</v>
      </c>
      <c r="J4" s="74" t="s">
        <v>30</v>
      </c>
      <c r="K4" s="74" t="s">
        <v>37</v>
      </c>
      <c r="M4" s="70">
        <f>SUMIF(C5:C21,"Material",K5:K21)</f>
        <v>429660</v>
      </c>
      <c r="N4" s="70">
        <f>SUMIF(C5:C21,"Mano de Obra",K5:K21)</f>
        <v>82333.271999999997</v>
      </c>
      <c r="O4" s="70">
        <f>SUMIF(C5:C21,"Subcontrato",K5:K21)</f>
        <v>0</v>
      </c>
      <c r="P4" s="70">
        <f>SUMIF(C5:C21,"Ser&amp;Arr",K5:K21)</f>
        <v>16466.719499999999</v>
      </c>
      <c r="Q4" s="71">
        <f>SUM(M4:P4)</f>
        <v>528459.9915</v>
      </c>
    </row>
    <row r="5" spans="1:17" ht="16">
      <c r="B5" s="56"/>
      <c r="C5" s="56" t="s">
        <v>38</v>
      </c>
      <c r="D5" s="57" t="s">
        <v>39</v>
      </c>
      <c r="E5" s="58" t="s">
        <v>367</v>
      </c>
      <c r="F5" s="59">
        <f>1/(2*50)*1.1</f>
        <v>1.1000000000000001E-2</v>
      </c>
      <c r="G5" s="60">
        <v>120000</v>
      </c>
      <c r="H5" s="61">
        <f t="shared" ref="H5:H7" si="0">ROUND(F5*G5,3)</f>
        <v>1320</v>
      </c>
      <c r="J5" s="75">
        <f>F5*$F$4</f>
        <v>3.5805000000000002</v>
      </c>
      <c r="K5" s="67">
        <f>H5*$F$4</f>
        <v>429660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1/50</f>
        <v>0.02</v>
      </c>
      <c r="G6" s="60">
        <f>Maestro</f>
        <v>7250</v>
      </c>
      <c r="H6" s="61">
        <f t="shared" si="0"/>
        <v>145</v>
      </c>
      <c r="J6" s="75">
        <f t="shared" ref="J6:J8" si="1">F6*$F$4</f>
        <v>6.51</v>
      </c>
      <c r="K6" s="67">
        <f t="shared" ref="K6:K8" si="2">H6*$F$4</f>
        <v>47197.5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1/50</f>
        <v>0.02</v>
      </c>
      <c r="G7" s="60">
        <f>Jornal</f>
        <v>5397.2222222222226</v>
      </c>
      <c r="H7" s="61">
        <f t="shared" si="0"/>
        <v>107.944</v>
      </c>
      <c r="J7" s="75">
        <f t="shared" si="1"/>
        <v>6.51</v>
      </c>
      <c r="K7" s="67">
        <f t="shared" si="2"/>
        <v>35135.772000000004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252.94400000000002</v>
      </c>
      <c r="H8" s="61">
        <f>ROUND(F8*G8,3)</f>
        <v>50.588999999999999</v>
      </c>
      <c r="J8" s="75">
        <f t="shared" si="1"/>
        <v>65.100000000000009</v>
      </c>
      <c r="K8" s="67">
        <f t="shared" si="2"/>
        <v>16466.719499999999</v>
      </c>
    </row>
    <row r="9" spans="1:17" ht="16">
      <c r="B9" s="62"/>
      <c r="C9" s="62"/>
      <c r="D9" s="63"/>
      <c r="E9" s="64" t="s">
        <v>457</v>
      </c>
      <c r="F9" s="120">
        <f>$F$4</f>
        <v>325.5</v>
      </c>
      <c r="G9" s="65">
        <f>SUM(H5:H8)</f>
        <v>1623.5329999999999</v>
      </c>
      <c r="H9" s="65">
        <f t="shared" ref="H9" si="3">ROUND(F9*G9,3)</f>
        <v>528459.99199999997</v>
      </c>
      <c r="K9" s="76">
        <f>SUM(K5:K8)</f>
        <v>528459.9915</v>
      </c>
    </row>
    <row r="11" spans="1:17">
      <c r="C11" s="66"/>
    </row>
  </sheetData>
  <dataValidations count="1">
    <dataValidation type="list" allowBlank="1" showErrorMessage="1" sqref="C9 C4" xr:uid="{D5A7BE9E-19C1-452B-BE5B-773979A24D46}">
      <formula1>"Capítulo,Partida,Mano de obra,Maquinaria,Material,Otros,Tarea"</formula1>
    </dataValidation>
  </dataValidations>
  <hyperlinks>
    <hyperlink ref="B1" location="'01.- Presupuesto'!A1" display="02.- Presupuesto'!A1" xr:uid="{9ED687A9-0A78-964D-8FA9-553A1B56F942}"/>
  </hyperlinks>
  <pageMargins left="0.7" right="0.7" top="0.75" bottom="0.75" header="0.3" footer="0.3"/>
  <pageSetup orientation="portrait" horizontalDpi="0" verticalDpi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1D5D-4C32-4D20-9F82-02A7B1D5FD12}">
  <sheetPr>
    <tabColor theme="9" tint="0.59999389629810485"/>
  </sheetPr>
  <dimension ref="A1:Q15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259</v>
      </c>
      <c r="C4" s="53" t="s">
        <v>36</v>
      </c>
      <c r="D4" s="148" t="str">
        <f>'01.- Presupuesto'!F141</f>
        <v>m3</v>
      </c>
      <c r="E4" s="149" t="str">
        <f>'01.- Presupuesto'!C141</f>
        <v>Suministro, instalación relleno estructural compactado al 95% de la D.M.S.C</v>
      </c>
      <c r="F4" s="73">
        <f>'01.- Presupuesto'!G141</f>
        <v>227.85</v>
      </c>
      <c r="G4" s="55">
        <f>G13</f>
        <v>31318.526000000002</v>
      </c>
      <c r="H4" s="55">
        <f>H13</f>
        <v>7135926.1490000002</v>
      </c>
      <c r="J4" s="74" t="s">
        <v>30</v>
      </c>
      <c r="K4" s="74" t="s">
        <v>37</v>
      </c>
      <c r="M4" s="70">
        <f>SUMIF(C5:C25,"Material",K5:K25)</f>
        <v>5924100</v>
      </c>
      <c r="N4" s="70">
        <f>SUMIF(C5:C25,"Mano de Obra",K5:K25)</f>
        <v>328546.94039999996</v>
      </c>
      <c r="O4" s="70">
        <f>SUMIF(C5:C25,"Subcontrato",K5:K25)</f>
        <v>0</v>
      </c>
      <c r="P4" s="70">
        <f>SUMIF(C5:C25,"Ser&amp;Arr",K5:K25)</f>
        <v>883279.20869999996</v>
      </c>
      <c r="Q4" s="71">
        <f>SUM(M4:P4)</f>
        <v>7135926.1491</v>
      </c>
    </row>
    <row r="5" spans="1:17" ht="16">
      <c r="B5" s="56"/>
      <c r="C5" s="56" t="s">
        <v>38</v>
      </c>
      <c r="D5" s="57" t="s">
        <v>67</v>
      </c>
      <c r="E5" s="58" t="s">
        <v>362</v>
      </c>
      <c r="F5" s="59">
        <v>1.3</v>
      </c>
      <c r="G5" s="60">
        <f>Base50</f>
        <v>20000</v>
      </c>
      <c r="H5" s="61">
        <f t="shared" ref="H5:H12" si="0">ROUND(F5*G5,3)</f>
        <v>26000</v>
      </c>
      <c r="J5" s="75">
        <f>F5*$F$4</f>
        <v>296.20499999999998</v>
      </c>
      <c r="K5" s="67">
        <f>H5*$F$4</f>
        <v>5924100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1/20</f>
        <v>0.05</v>
      </c>
      <c r="G6" s="60">
        <f>Maestro</f>
        <v>7250</v>
      </c>
      <c r="H6" s="61">
        <f t="shared" si="0"/>
        <v>362.5</v>
      </c>
      <c r="J6" s="75">
        <f t="shared" ref="J6:J10" si="1">F6*$F$4</f>
        <v>11.3925</v>
      </c>
      <c r="K6" s="67">
        <f t="shared" ref="K6:K10" si="2">H6*$F$4</f>
        <v>82595.625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4*1/20</f>
        <v>0.2</v>
      </c>
      <c r="G7" s="60">
        <f>Jornal</f>
        <v>5397.2222222222226</v>
      </c>
      <c r="H7" s="61">
        <f t="shared" si="0"/>
        <v>1079.444</v>
      </c>
      <c r="J7" s="75">
        <f t="shared" si="1"/>
        <v>45.57</v>
      </c>
      <c r="K7" s="67">
        <f t="shared" si="2"/>
        <v>245951.31539999999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1441.944</v>
      </c>
      <c r="H8" s="61">
        <f>ROUND(F8*G8,3)</f>
        <v>288.38900000000001</v>
      </c>
      <c r="J8" s="75">
        <f t="shared" si="1"/>
        <v>45.57</v>
      </c>
      <c r="K8" s="67">
        <f t="shared" si="2"/>
        <v>65709.433650000006</v>
      </c>
    </row>
    <row r="9" spans="1:17" ht="16">
      <c r="B9" s="56"/>
      <c r="C9" s="56" t="s">
        <v>54</v>
      </c>
      <c r="D9" s="57" t="s">
        <v>348</v>
      </c>
      <c r="E9" s="58" t="s">
        <v>350</v>
      </c>
      <c r="F9" s="59">
        <f>1/20</f>
        <v>0.05</v>
      </c>
      <c r="G9" s="60">
        <f>Retroexcavadora</f>
        <v>32000</v>
      </c>
      <c r="H9" s="61">
        <f t="shared" si="0"/>
        <v>1600</v>
      </c>
      <c r="J9" s="75">
        <f t="shared" si="1"/>
        <v>11.3925</v>
      </c>
      <c r="K9" s="67">
        <f t="shared" si="2"/>
        <v>364560</v>
      </c>
    </row>
    <row r="10" spans="1:17" ht="16">
      <c r="B10" s="56"/>
      <c r="C10" s="56" t="s">
        <v>54</v>
      </c>
      <c r="D10" s="57" t="s">
        <v>71</v>
      </c>
      <c r="E10" s="58" t="s">
        <v>385</v>
      </c>
      <c r="F10" s="59">
        <f>1/20/8</f>
        <v>6.2500000000000003E-3</v>
      </c>
      <c r="G10" s="60">
        <v>25000</v>
      </c>
      <c r="H10" s="61">
        <f t="shared" si="0"/>
        <v>156.25</v>
      </c>
      <c r="J10" s="75">
        <f t="shared" si="1"/>
        <v>1.4240625</v>
      </c>
      <c r="K10" s="67">
        <f t="shared" si="2"/>
        <v>35601.5625</v>
      </c>
    </row>
    <row r="11" spans="1:17" ht="16">
      <c r="B11" s="56"/>
      <c r="C11" s="56" t="s">
        <v>54</v>
      </c>
      <c r="D11" s="57" t="s">
        <v>76</v>
      </c>
      <c r="E11" s="58" t="s">
        <v>358</v>
      </c>
      <c r="F11" s="59">
        <f>1/F4</f>
        <v>4.3888523151195966E-3</v>
      </c>
      <c r="G11" s="60">
        <f>(0.6+4.4)*UF</f>
        <v>196335</v>
      </c>
      <c r="H11" s="61">
        <f t="shared" si="0"/>
        <v>861.68499999999995</v>
      </c>
      <c r="J11" s="75">
        <f>F11*$F$4</f>
        <v>1</v>
      </c>
      <c r="K11" s="67">
        <f>H11*$F$4</f>
        <v>196334.92724999998</v>
      </c>
    </row>
    <row r="12" spans="1:17" ht="16">
      <c r="B12" s="56"/>
      <c r="C12" s="56" t="s">
        <v>54</v>
      </c>
      <c r="D12" s="57" t="s">
        <v>76</v>
      </c>
      <c r="E12" s="58" t="s">
        <v>386</v>
      </c>
      <c r="F12" s="59">
        <f>3/F4</f>
        <v>1.3166556945358789E-2</v>
      </c>
      <c r="G12" s="60">
        <f>(0.41+4.4/3)*UF</f>
        <v>73691.070000000007</v>
      </c>
      <c r="H12" s="61">
        <f t="shared" si="0"/>
        <v>970.25800000000004</v>
      </c>
      <c r="J12" s="75">
        <f>F12*$F$4</f>
        <v>3</v>
      </c>
      <c r="K12" s="67">
        <f>H12*$F$4</f>
        <v>221073.28529999999</v>
      </c>
    </row>
    <row r="13" spans="1:17" ht="16">
      <c r="B13" s="62"/>
      <c r="C13" s="62"/>
      <c r="D13" s="63"/>
      <c r="E13" s="64" t="s">
        <v>432</v>
      </c>
      <c r="F13" s="120">
        <f>$F$4</f>
        <v>227.85</v>
      </c>
      <c r="G13" s="65">
        <f>SUM(H5:H12)</f>
        <v>31318.526000000002</v>
      </c>
      <c r="H13" s="65">
        <f t="shared" ref="H13" si="3">ROUND(F13*G13,3)</f>
        <v>7135926.1490000002</v>
      </c>
      <c r="K13" s="76">
        <f>SUM(K5:K12)</f>
        <v>7135926.1490999991</v>
      </c>
    </row>
    <row r="15" spans="1:17">
      <c r="C15" s="66"/>
    </row>
  </sheetData>
  <dataValidations count="1">
    <dataValidation type="list" allowBlank="1" showErrorMessage="1" sqref="C13 C4" xr:uid="{94DD66AF-2E62-419E-B257-E06D253F9FCC}">
      <formula1>"Capítulo,Partida,Mano de obra,Maquinaria,Material,Otros,Tarea"</formula1>
    </dataValidation>
  </dataValidations>
  <hyperlinks>
    <hyperlink ref="B1" location="'01.- Presupuesto'!A1" display="02.- Presupuesto'!A1" xr:uid="{F124591A-DD5B-9F4F-91A6-217CC9A2B3C9}"/>
  </hyperlinks>
  <pageMargins left="0.7" right="0.7" top="0.75" bottom="0.75" header="0.3" footer="0.3"/>
  <pageSetup orientation="portrait" horizontalDpi="0" verticalDpi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51D2-AC37-4099-A240-C131F4AD797C}">
  <sheetPr>
    <tabColor theme="9" tint="0.59999389629810485"/>
  </sheetPr>
  <dimension ref="A1:Q11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272</v>
      </c>
      <c r="C4" s="53" t="s">
        <v>36</v>
      </c>
      <c r="D4" s="148" t="str">
        <f>'01.- Presupuesto'!F143</f>
        <v>kg</v>
      </c>
      <c r="E4" s="149" t="str">
        <f>'01.- Presupuesto'!C143</f>
        <v>Suministro e instalación perfiles metálicos, tipo MM, Formac. Marcos.</v>
      </c>
      <c r="F4" s="73">
        <f>'01.- Presupuesto'!G143</f>
        <v>6755</v>
      </c>
      <c r="G4" s="55">
        <f>G9</f>
        <v>3647.7939999999999</v>
      </c>
      <c r="H4" s="55">
        <f>H9</f>
        <v>24640848.469999999</v>
      </c>
      <c r="J4" s="74" t="s">
        <v>30</v>
      </c>
      <c r="K4" s="74" t="s">
        <v>37</v>
      </c>
      <c r="M4" s="70">
        <f>SUMIF(C5:C21,"Material",K5:K21)</f>
        <v>14508348.470000001</v>
      </c>
      <c r="N4" s="70">
        <f>SUMIF(C5:C21,"Mano de Obra",K5:K21)</f>
        <v>0</v>
      </c>
      <c r="O4" s="70">
        <f>SUMIF(C5:C21,"Subcontrato",K5:K21)</f>
        <v>10132500</v>
      </c>
      <c r="P4" s="70">
        <f>SUMIF(C5:C21,"Ser&amp;Arr",K5:K21)</f>
        <v>0</v>
      </c>
      <c r="Q4" s="71">
        <f>SUM(M4:P4)</f>
        <v>24640848.469999999</v>
      </c>
    </row>
    <row r="5" spans="1:17" ht="16">
      <c r="B5" s="56"/>
      <c r="C5" s="56" t="s">
        <v>38</v>
      </c>
      <c r="D5" s="57" t="s">
        <v>75</v>
      </c>
      <c r="E5" s="58" t="s">
        <v>458</v>
      </c>
      <c r="F5" s="59">
        <f>1.05</f>
        <v>1.05</v>
      </c>
      <c r="G5" s="60">
        <f>2250/1.19</f>
        <v>1890.7563025210086</v>
      </c>
      <c r="H5" s="61">
        <f t="shared" ref="H5:H8" si="0">ROUND(F5*G5,3)</f>
        <v>1985.2940000000001</v>
      </c>
      <c r="J5" s="75">
        <f>F5*$F$4</f>
        <v>7092.75</v>
      </c>
      <c r="K5" s="67">
        <f>H5*$F$4</f>
        <v>13410660.970000001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v>0.03</v>
      </c>
      <c r="G6" s="60">
        <v>2000</v>
      </c>
      <c r="H6" s="61">
        <f t="shared" si="0"/>
        <v>60</v>
      </c>
      <c r="J6" s="75">
        <f t="shared" ref="J6:J8" si="1">F6*$F$4</f>
        <v>202.65</v>
      </c>
      <c r="K6" s="67">
        <f t="shared" ref="K6:K8" si="2">H6*$F$4</f>
        <v>405300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v>2.5000000000000001E-2</v>
      </c>
      <c r="G7" s="60">
        <v>4100</v>
      </c>
      <c r="H7" s="61">
        <f t="shared" si="0"/>
        <v>102.5</v>
      </c>
      <c r="J7" s="75">
        <f t="shared" si="1"/>
        <v>168.875</v>
      </c>
      <c r="K7" s="67">
        <f t="shared" si="2"/>
        <v>692387.5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v>1</v>
      </c>
      <c r="G8" s="60">
        <f>Met</f>
        <v>1500</v>
      </c>
      <c r="H8" s="61">
        <f t="shared" si="0"/>
        <v>1500</v>
      </c>
      <c r="J8" s="75">
        <f t="shared" si="1"/>
        <v>6755</v>
      </c>
      <c r="K8" s="67">
        <f t="shared" si="2"/>
        <v>10132500</v>
      </c>
    </row>
    <row r="9" spans="1:17" ht="16">
      <c r="B9" s="62"/>
      <c r="C9" s="62"/>
      <c r="D9" s="63"/>
      <c r="E9" s="64" t="s">
        <v>466</v>
      </c>
      <c r="F9" s="120">
        <f>$F$4</f>
        <v>6755</v>
      </c>
      <c r="G9" s="65">
        <f>SUM(H5:H8)</f>
        <v>3647.7939999999999</v>
      </c>
      <c r="H9" s="65">
        <f t="shared" ref="H9" si="3">ROUND(F9*G9,3)</f>
        <v>24640848.469999999</v>
      </c>
      <c r="K9" s="76">
        <f>SUM(K5:K8)</f>
        <v>24640848.469999999</v>
      </c>
    </row>
    <row r="11" spans="1:17">
      <c r="C11" s="66"/>
    </row>
  </sheetData>
  <dataValidations count="1">
    <dataValidation type="list" allowBlank="1" showErrorMessage="1" sqref="C9 C4" xr:uid="{2698F217-359B-4FB3-A34A-958456B8EDC2}">
      <formula1>"Capítulo,Partida,Mano de obra,Maquinaria,Material,Otros,Tarea"</formula1>
    </dataValidation>
  </dataValidations>
  <hyperlinks>
    <hyperlink ref="B1" location="'01.- Presupuesto'!A1" display="02.- Presupuesto'!A1" xr:uid="{3ED58E8F-CB21-D343-B95E-7D610662820A}"/>
  </hyperlinks>
  <pageMargins left="0.7" right="0.7" top="0.75" bottom="0.75" header="0.3" footer="0.3"/>
  <pageSetup orientation="portrait" horizontalDpi="0" verticalDpi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74A3-2B0A-4C03-9BC5-E448F4667CF5}">
  <sheetPr>
    <tabColor theme="9" tint="0.59999389629810485"/>
  </sheetPr>
  <dimension ref="A1:Q11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273</v>
      </c>
      <c r="C4" s="53" t="s">
        <v>36</v>
      </c>
      <c r="D4" s="148" t="str">
        <f>'01.- Presupuesto'!F144</f>
        <v>kg</v>
      </c>
      <c r="E4" s="149" t="str">
        <f>'01.- Presupuesto'!C144</f>
        <v>Suministro e instalación perfiles metálicos, tipo Formac, cubierta y laterales.</v>
      </c>
      <c r="F4" s="73">
        <f>'01.- Presupuesto'!G144</f>
        <v>2741.16</v>
      </c>
      <c r="G4" s="55">
        <f>G9</f>
        <v>3647.7939999999999</v>
      </c>
      <c r="H4" s="55">
        <f>H9</f>
        <v>9999187.0010000002</v>
      </c>
      <c r="J4" s="74" t="s">
        <v>30</v>
      </c>
      <c r="K4" s="74" t="s">
        <v>37</v>
      </c>
      <c r="M4" s="70">
        <f>SUMIF(C5:C21,"Material",K5:K21)</f>
        <v>5887447.0010399995</v>
      </c>
      <c r="N4" s="70">
        <f>SUMIF(C5:C21,"Mano de Obra",K5:K21)</f>
        <v>0</v>
      </c>
      <c r="O4" s="70">
        <f>SUMIF(C5:C21,"Subcontrato",K5:K21)</f>
        <v>4111740</v>
      </c>
      <c r="P4" s="70">
        <f>SUMIF(C5:C21,"Ser&amp;Arr",K5:K21)</f>
        <v>0</v>
      </c>
      <c r="Q4" s="71">
        <f>SUM(M4:P4)</f>
        <v>9999187.0010400005</v>
      </c>
    </row>
    <row r="5" spans="1:17" ht="16">
      <c r="B5" s="56"/>
      <c r="C5" s="56" t="s">
        <v>38</v>
      </c>
      <c r="D5" s="57" t="s">
        <v>75</v>
      </c>
      <c r="E5" s="58" t="s">
        <v>458</v>
      </c>
      <c r="F5" s="59">
        <f>1.05</f>
        <v>1.05</v>
      </c>
      <c r="G5" s="60">
        <f>2250/1.19</f>
        <v>1890.7563025210086</v>
      </c>
      <c r="H5" s="61">
        <f t="shared" ref="H5:H8" si="0">ROUND(F5*G5,3)</f>
        <v>1985.2940000000001</v>
      </c>
      <c r="J5" s="75">
        <f>F5*$F$4</f>
        <v>2878.2179999999998</v>
      </c>
      <c r="K5" s="67">
        <f>H5*$F$4</f>
        <v>5442008.5010399995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v>0.03</v>
      </c>
      <c r="G6" s="60">
        <v>2000</v>
      </c>
      <c r="H6" s="61">
        <f t="shared" si="0"/>
        <v>60</v>
      </c>
      <c r="J6" s="75">
        <f t="shared" ref="J6:J8" si="1">F6*$F$4</f>
        <v>82.234799999999993</v>
      </c>
      <c r="K6" s="67">
        <f t="shared" ref="K6:K8" si="2">H6*$F$4</f>
        <v>164469.59999999998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v>2.5000000000000001E-2</v>
      </c>
      <c r="G7" s="60">
        <v>4100</v>
      </c>
      <c r="H7" s="61">
        <f t="shared" si="0"/>
        <v>102.5</v>
      </c>
      <c r="J7" s="75">
        <f t="shared" si="1"/>
        <v>68.528999999999996</v>
      </c>
      <c r="K7" s="67">
        <f t="shared" si="2"/>
        <v>280968.89999999997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v>1</v>
      </c>
      <c r="G8" s="60">
        <f>Met</f>
        <v>1500</v>
      </c>
      <c r="H8" s="61">
        <f t="shared" si="0"/>
        <v>1500</v>
      </c>
      <c r="J8" s="75">
        <f t="shared" si="1"/>
        <v>2741.16</v>
      </c>
      <c r="K8" s="67">
        <f t="shared" si="2"/>
        <v>4111740</v>
      </c>
    </row>
    <row r="9" spans="1:17" ht="16">
      <c r="B9" s="62"/>
      <c r="C9" s="62"/>
      <c r="D9" s="63"/>
      <c r="E9" s="64" t="s">
        <v>467</v>
      </c>
      <c r="F9" s="120">
        <f>$F$4</f>
        <v>2741.16</v>
      </c>
      <c r="G9" s="65">
        <f>SUM(H5:H8)</f>
        <v>3647.7939999999999</v>
      </c>
      <c r="H9" s="65">
        <f t="shared" ref="H9" si="3">ROUND(F9*G9,3)</f>
        <v>9999187.0010000002</v>
      </c>
      <c r="K9" s="76">
        <f>SUM(K5:K8)</f>
        <v>9999187.0010400005</v>
      </c>
    </row>
    <row r="11" spans="1:17">
      <c r="C11" s="66"/>
    </row>
  </sheetData>
  <dataValidations count="1">
    <dataValidation type="list" allowBlank="1" showErrorMessage="1" sqref="C9 C4" xr:uid="{2156601D-21DC-42F4-8068-EA312D7373D5}">
      <formula1>"Capítulo,Partida,Mano de obra,Maquinaria,Material,Otros,Tarea"</formula1>
    </dataValidation>
  </dataValidations>
  <hyperlinks>
    <hyperlink ref="B1" location="'01.- Presupuesto'!A1" display="02.- Presupuesto'!A1" xr:uid="{E90D43F3-144E-8645-9C95-798B6BC10B6E}"/>
  </hyperlinks>
  <pageMargins left="0.7" right="0.7" top="0.75" bottom="0.75" header="0.3" footer="0.3"/>
  <pageSetup orientation="portrait" horizontalDpi="0" verticalDpi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8F7E-A97E-4B95-9DC1-51C101E7FE9F}">
  <sheetPr>
    <tabColor theme="9" tint="0.59999389629810485"/>
  </sheetPr>
  <dimension ref="A1:Q11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274</v>
      </c>
      <c r="C4" s="53" t="s">
        <v>36</v>
      </c>
      <c r="D4" s="148" t="str">
        <f>'01.- Presupuesto'!F145</f>
        <v>kg</v>
      </c>
      <c r="E4" s="149" t="str">
        <f>'01.- Presupuesto'!C145</f>
        <v>Suministro e instalación perfiles metálicos. Frontones.</v>
      </c>
      <c r="F4" s="73">
        <f>'01.- Presupuesto'!G145</f>
        <v>925.35</v>
      </c>
      <c r="G4" s="55">
        <f>G9</f>
        <v>3647.7939999999999</v>
      </c>
      <c r="H4" s="55">
        <f>H9</f>
        <v>3375486.1779999998</v>
      </c>
      <c r="J4" s="74" t="s">
        <v>30</v>
      </c>
      <c r="K4" s="74" t="s">
        <v>37</v>
      </c>
      <c r="M4" s="70">
        <f>SUMIF(C5:C21,"Material",K5:K21)</f>
        <v>1987461.1779000002</v>
      </c>
      <c r="N4" s="70">
        <f>SUMIF(C5:C21,"Mano de Obra",K5:K21)</f>
        <v>0</v>
      </c>
      <c r="O4" s="70">
        <f>SUMIF(C5:C21,"Subcontrato",K5:K21)</f>
        <v>1388025</v>
      </c>
      <c r="P4" s="70">
        <f>SUMIF(C5:C21,"Ser&amp;Arr",K5:K21)</f>
        <v>0</v>
      </c>
      <c r="Q4" s="71">
        <f>SUM(M4:P4)</f>
        <v>3375486.1779000005</v>
      </c>
    </row>
    <row r="5" spans="1:17" ht="16">
      <c r="B5" s="56"/>
      <c r="C5" s="56" t="s">
        <v>38</v>
      </c>
      <c r="D5" s="57" t="s">
        <v>75</v>
      </c>
      <c r="E5" s="58" t="s">
        <v>458</v>
      </c>
      <c r="F5" s="59">
        <f>1.05</f>
        <v>1.05</v>
      </c>
      <c r="G5" s="60">
        <f>2250/1.19</f>
        <v>1890.7563025210086</v>
      </c>
      <c r="H5" s="61">
        <f t="shared" ref="H5:H8" si="0">ROUND(F5*G5,3)</f>
        <v>1985.2940000000001</v>
      </c>
      <c r="J5" s="75">
        <f>F5*$F$4</f>
        <v>971.61750000000006</v>
      </c>
      <c r="K5" s="67">
        <f>H5*$F$4</f>
        <v>1837091.8029000002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v>0.03</v>
      </c>
      <c r="G6" s="60">
        <v>2000</v>
      </c>
      <c r="H6" s="61">
        <f t="shared" si="0"/>
        <v>60</v>
      </c>
      <c r="J6" s="75">
        <f t="shared" ref="J6:J8" si="1">F6*$F$4</f>
        <v>27.7605</v>
      </c>
      <c r="K6" s="67">
        <f t="shared" ref="K6:K8" si="2">H6*$F$4</f>
        <v>55521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v>2.5000000000000001E-2</v>
      </c>
      <c r="G7" s="60">
        <v>4100</v>
      </c>
      <c r="H7" s="61">
        <f t="shared" si="0"/>
        <v>102.5</v>
      </c>
      <c r="J7" s="75">
        <f t="shared" si="1"/>
        <v>23.133750000000003</v>
      </c>
      <c r="K7" s="67">
        <f t="shared" si="2"/>
        <v>94848.375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v>1</v>
      </c>
      <c r="G8" s="60">
        <f>Met</f>
        <v>1500</v>
      </c>
      <c r="H8" s="61">
        <f t="shared" si="0"/>
        <v>1500</v>
      </c>
      <c r="J8" s="75">
        <f t="shared" si="1"/>
        <v>925.35</v>
      </c>
      <c r="K8" s="67">
        <f t="shared" si="2"/>
        <v>1388025</v>
      </c>
    </row>
    <row r="9" spans="1:17" ht="16">
      <c r="B9" s="62"/>
      <c r="C9" s="62"/>
      <c r="D9" s="63"/>
      <c r="E9" s="64" t="s">
        <v>468</v>
      </c>
      <c r="F9" s="120">
        <f>$F$4</f>
        <v>925.35</v>
      </c>
      <c r="G9" s="65">
        <f>SUM(H5:H8)</f>
        <v>3647.7939999999999</v>
      </c>
      <c r="H9" s="65">
        <f t="shared" ref="H9" si="3">ROUND(F9*G9,3)</f>
        <v>3375486.1779999998</v>
      </c>
      <c r="K9" s="76">
        <f>SUM(K5:K8)</f>
        <v>3375486.1779000005</v>
      </c>
    </row>
    <row r="11" spans="1:17">
      <c r="C11" s="66"/>
    </row>
  </sheetData>
  <dataValidations count="1">
    <dataValidation type="list" allowBlank="1" showErrorMessage="1" sqref="C9 C4" xr:uid="{55F2C145-BFD6-42EA-938A-2269D75FC6E9}">
      <formula1>"Capítulo,Partida,Mano de obra,Maquinaria,Material,Otros,Tarea"</formula1>
    </dataValidation>
  </dataValidations>
  <hyperlinks>
    <hyperlink ref="B1" location="'01.- Presupuesto'!A1" display="02.- Presupuesto'!A1" xr:uid="{BBEE959F-C812-D948-9303-82D352998AD1}"/>
  </hyperlinks>
  <pageMargins left="0.7" right="0.7" top="0.75" bottom="0.75" header="0.3" footer="0.3"/>
  <pageSetup orientation="portrait" horizontalDpi="0" verticalDpi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775C-E267-4996-B2D1-32936EE91E66}">
  <sheetPr>
    <tabColor theme="9" tint="0.59999389629810485"/>
  </sheetPr>
  <dimension ref="A1:Q11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275</v>
      </c>
      <c r="C4" s="53" t="s">
        <v>36</v>
      </c>
      <c r="D4" s="148" t="str">
        <f>'01.- Presupuesto'!F146</f>
        <v>kg</v>
      </c>
      <c r="E4" s="149" t="str">
        <f>'01.- Presupuesto'!C146</f>
        <v>Suministro e instalación perfiles metálicos, arriostramientos.</v>
      </c>
      <c r="F4" s="73">
        <f>'01.- Presupuesto'!G146</f>
        <v>512.69999999999993</v>
      </c>
      <c r="G4" s="55">
        <f>G9</f>
        <v>3647.7939999999999</v>
      </c>
      <c r="H4" s="55">
        <f>H9</f>
        <v>1870223.9839999999</v>
      </c>
      <c r="J4" s="74" t="s">
        <v>30</v>
      </c>
      <c r="K4" s="74" t="s">
        <v>37</v>
      </c>
      <c r="M4" s="70">
        <f>SUMIF(C5:C21,"Material",K5:K21)</f>
        <v>1101173.9837999998</v>
      </c>
      <c r="N4" s="70">
        <f>SUMIF(C5:C21,"Mano de Obra",K5:K21)</f>
        <v>0</v>
      </c>
      <c r="O4" s="70">
        <f>SUMIF(C5:C21,"Subcontrato",K5:K21)</f>
        <v>769049.99999999988</v>
      </c>
      <c r="P4" s="70">
        <f>SUMIF(C5:C21,"Ser&amp;Arr",K5:K21)</f>
        <v>0</v>
      </c>
      <c r="Q4" s="71">
        <f>SUM(M4:P4)</f>
        <v>1870223.9837999996</v>
      </c>
    </row>
    <row r="5" spans="1:17" ht="16">
      <c r="B5" s="56"/>
      <c r="C5" s="56" t="s">
        <v>38</v>
      </c>
      <c r="D5" s="57" t="s">
        <v>75</v>
      </c>
      <c r="E5" s="58" t="s">
        <v>458</v>
      </c>
      <c r="F5" s="59">
        <f>1.05</f>
        <v>1.05</v>
      </c>
      <c r="G5" s="60">
        <f>2250/1.19</f>
        <v>1890.7563025210086</v>
      </c>
      <c r="H5" s="61">
        <f t="shared" ref="H5:H8" si="0">ROUND(F5*G5,3)</f>
        <v>1985.2940000000001</v>
      </c>
      <c r="J5" s="75">
        <f>F5*$F$4</f>
        <v>538.33499999999992</v>
      </c>
      <c r="K5" s="67">
        <f>H5*$F$4</f>
        <v>1017860.2337999999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v>0.03</v>
      </c>
      <c r="G6" s="60">
        <v>2000</v>
      </c>
      <c r="H6" s="61">
        <f t="shared" si="0"/>
        <v>60</v>
      </c>
      <c r="J6" s="75">
        <f t="shared" ref="J6:J8" si="1">F6*$F$4</f>
        <v>15.380999999999997</v>
      </c>
      <c r="K6" s="67">
        <f t="shared" ref="K6:K8" si="2">H6*$F$4</f>
        <v>30761.999999999996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v>2.5000000000000001E-2</v>
      </c>
      <c r="G7" s="60">
        <v>4100</v>
      </c>
      <c r="H7" s="61">
        <f t="shared" si="0"/>
        <v>102.5</v>
      </c>
      <c r="J7" s="75">
        <f t="shared" si="1"/>
        <v>12.817499999999999</v>
      </c>
      <c r="K7" s="67">
        <f t="shared" si="2"/>
        <v>52551.749999999993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v>1</v>
      </c>
      <c r="G8" s="60">
        <f>Met</f>
        <v>1500</v>
      </c>
      <c r="H8" s="61">
        <f t="shared" si="0"/>
        <v>1500</v>
      </c>
      <c r="J8" s="75">
        <f t="shared" si="1"/>
        <v>512.69999999999993</v>
      </c>
      <c r="K8" s="67">
        <f t="shared" si="2"/>
        <v>769049.99999999988</v>
      </c>
    </row>
    <row r="9" spans="1:17" ht="16">
      <c r="B9" s="62"/>
      <c r="C9" s="62"/>
      <c r="D9" s="63"/>
      <c r="E9" s="64" t="s">
        <v>469</v>
      </c>
      <c r="F9" s="120">
        <f>$F$4</f>
        <v>512.69999999999993</v>
      </c>
      <c r="G9" s="65">
        <f>SUM(H5:H8)</f>
        <v>3647.7939999999999</v>
      </c>
      <c r="H9" s="65">
        <f t="shared" ref="H9" si="3">ROUND(F9*G9,3)</f>
        <v>1870223.9839999999</v>
      </c>
      <c r="K9" s="76">
        <f>SUM(K5:K8)</f>
        <v>1870223.9837999996</v>
      </c>
    </row>
    <row r="11" spans="1:17">
      <c r="C11" s="66"/>
    </row>
  </sheetData>
  <dataValidations count="1">
    <dataValidation type="list" allowBlank="1" showErrorMessage="1" sqref="C9 C4" xr:uid="{98AB32D2-0A9D-4238-ABDF-A8D1B8D21F74}">
      <formula1>"Capítulo,Partida,Mano de obra,Maquinaria,Material,Otros,Tarea"</formula1>
    </dataValidation>
  </dataValidations>
  <hyperlinks>
    <hyperlink ref="B1" location="'01.- Presupuesto'!A1" display="02.- Presupuesto'!A1" xr:uid="{12BEEEB8-ACB6-0D46-931F-A0785D556EA8}"/>
  </hyperlinks>
  <pageMargins left="0.7" right="0.7" top="0.75" bottom="0.75" header="0.3" footer="0.3"/>
  <pageSetup orientation="portrait" horizontalDpi="0" verticalDpi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627C-F2B7-4EEB-BD7A-E64C0BF31287}">
  <sheetPr>
    <tabColor theme="9" tint="0.59999389629810485"/>
  </sheetPr>
  <dimension ref="A1:Q11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276</v>
      </c>
      <c r="C4" s="53" t="s">
        <v>36</v>
      </c>
      <c r="D4" s="148" t="str">
        <f>'01.- Presupuesto'!F147</f>
        <v>kg</v>
      </c>
      <c r="E4" s="149" t="str">
        <f>'01.- Presupuesto'!C147</f>
        <v>Suministro e instalación unión apernadas, placas de refuerzo. Viga-Columna</v>
      </c>
      <c r="F4" s="73">
        <f>'01.- Presupuesto'!G147</f>
        <v>934.01136000000008</v>
      </c>
      <c r="G4" s="55">
        <f>G9</f>
        <v>3647.7939999999999</v>
      </c>
      <c r="H4" s="55">
        <f>H9</f>
        <v>3407081.0350000001</v>
      </c>
      <c r="J4" s="74" t="s">
        <v>30</v>
      </c>
      <c r="K4" s="74" t="s">
        <v>37</v>
      </c>
      <c r="M4" s="70">
        <f>SUMIF(C5:C21,"Material",K5:K21)</f>
        <v>2006063.9949398404</v>
      </c>
      <c r="N4" s="70">
        <f>SUMIF(C5:C21,"Mano de Obra",K5:K21)</f>
        <v>0</v>
      </c>
      <c r="O4" s="70">
        <f>SUMIF(C5:C21,"Subcontrato",K5:K21)</f>
        <v>1401017.04</v>
      </c>
      <c r="P4" s="70">
        <f>SUMIF(C5:C21,"Ser&amp;Arr",K5:K21)</f>
        <v>0</v>
      </c>
      <c r="Q4" s="71">
        <f>SUM(M4:P4)</f>
        <v>3407081.0349398404</v>
      </c>
    </row>
    <row r="5" spans="1:17" ht="16">
      <c r="B5" s="56"/>
      <c r="C5" s="56" t="s">
        <v>38</v>
      </c>
      <c r="D5" s="57" t="s">
        <v>75</v>
      </c>
      <c r="E5" s="58" t="s">
        <v>458</v>
      </c>
      <c r="F5" s="59">
        <f>1.05</f>
        <v>1.05</v>
      </c>
      <c r="G5" s="60">
        <f>2250/1.19</f>
        <v>1890.7563025210086</v>
      </c>
      <c r="H5" s="61">
        <f t="shared" ref="H5:H8" si="0">ROUND(F5*G5,3)</f>
        <v>1985.2940000000001</v>
      </c>
      <c r="J5" s="75">
        <f>F5*$F$4</f>
        <v>980.71192800000017</v>
      </c>
      <c r="K5" s="67">
        <f>H5*$F$4</f>
        <v>1854287.1489398403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v>0.03</v>
      </c>
      <c r="G6" s="60">
        <v>2000</v>
      </c>
      <c r="H6" s="61">
        <f t="shared" si="0"/>
        <v>60</v>
      </c>
      <c r="J6" s="75">
        <f t="shared" ref="J6:J8" si="1">F6*$F$4</f>
        <v>28.020340800000003</v>
      </c>
      <c r="K6" s="67">
        <f t="shared" ref="K6:K8" si="2">H6*$F$4</f>
        <v>56040.681600000004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v>2.5000000000000001E-2</v>
      </c>
      <c r="G7" s="60">
        <v>4100</v>
      </c>
      <c r="H7" s="61">
        <f t="shared" si="0"/>
        <v>102.5</v>
      </c>
      <c r="J7" s="75">
        <f t="shared" si="1"/>
        <v>23.350284000000002</v>
      </c>
      <c r="K7" s="67">
        <f t="shared" si="2"/>
        <v>95736.164400000009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v>1</v>
      </c>
      <c r="G8" s="60">
        <f>Met</f>
        <v>1500</v>
      </c>
      <c r="H8" s="61">
        <f t="shared" si="0"/>
        <v>1500</v>
      </c>
      <c r="J8" s="75">
        <f t="shared" si="1"/>
        <v>934.01136000000008</v>
      </c>
      <c r="K8" s="67">
        <f t="shared" si="2"/>
        <v>1401017.04</v>
      </c>
    </row>
    <row r="9" spans="1:17" ht="16">
      <c r="B9" s="62"/>
      <c r="C9" s="62"/>
      <c r="D9" s="63"/>
      <c r="E9" s="64" t="s">
        <v>470</v>
      </c>
      <c r="F9" s="120">
        <f>$F$4</f>
        <v>934.01136000000008</v>
      </c>
      <c r="G9" s="65">
        <f>SUM(H5:H8)</f>
        <v>3647.7939999999999</v>
      </c>
      <c r="H9" s="65">
        <f t="shared" ref="H9" si="3">ROUND(F9*G9,3)</f>
        <v>3407081.0350000001</v>
      </c>
      <c r="K9" s="76">
        <f>SUM(K5:K8)</f>
        <v>3407081.0349398404</v>
      </c>
    </row>
    <row r="11" spans="1:17">
      <c r="C11" s="66"/>
    </row>
  </sheetData>
  <dataValidations count="1">
    <dataValidation type="list" allowBlank="1" showErrorMessage="1" sqref="C9 C4" xr:uid="{6DEECEF3-F6E3-4AD0-80F8-4DD3259DEA31}">
      <formula1>"Capítulo,Partida,Mano de obra,Maquinaria,Material,Otros,Tarea"</formula1>
    </dataValidation>
  </dataValidations>
  <hyperlinks>
    <hyperlink ref="B1" location="'01.- Presupuesto'!A1" display="02.- Presupuesto'!A1" xr:uid="{20329A37-DD9A-084A-B3D5-A3A16BD11611}"/>
  </hyperlinks>
  <pageMargins left="0.7" right="0.7" top="0.75" bottom="0.75" header="0.3" footer="0.3"/>
  <pageSetup orientation="portrait" horizontalDpi="0" verticalDpi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9AAD-B03C-4D6C-9BD1-3CEEC40C124A}">
  <sheetPr>
    <tabColor theme="9" tint="0.59999389629810485"/>
  </sheetPr>
  <dimension ref="A1:Q11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277</v>
      </c>
      <c r="C4" s="53" t="s">
        <v>36</v>
      </c>
      <c r="D4" s="148" t="str">
        <f>'01.- Presupuesto'!F148</f>
        <v>kg</v>
      </c>
      <c r="E4" s="149" t="str">
        <f>'01.- Presupuesto'!C148</f>
        <v>Suministro e instalación unión anclaje fundación.</v>
      </c>
      <c r="F4" s="73">
        <f>'01.- Presupuesto'!G148</f>
        <v>203.64</v>
      </c>
      <c r="G4" s="55">
        <f>G9</f>
        <v>3647.7939999999999</v>
      </c>
      <c r="H4" s="55">
        <f>H9</f>
        <v>742836.77</v>
      </c>
      <c r="J4" s="74" t="s">
        <v>30</v>
      </c>
      <c r="K4" s="74" t="s">
        <v>37</v>
      </c>
      <c r="M4" s="70">
        <f>SUMIF(C5:C21,"Material",K5:K21)</f>
        <v>437376.77016000001</v>
      </c>
      <c r="N4" s="70">
        <f>SUMIF(C5:C21,"Mano de Obra",K5:K21)</f>
        <v>0</v>
      </c>
      <c r="O4" s="70">
        <f>SUMIF(C5:C21,"Subcontrato",K5:K21)</f>
        <v>305460</v>
      </c>
      <c r="P4" s="70">
        <f>SUMIF(C5:C21,"Ser&amp;Arr",K5:K21)</f>
        <v>0</v>
      </c>
      <c r="Q4" s="71">
        <f>SUM(M4:P4)</f>
        <v>742836.77016000007</v>
      </c>
    </row>
    <row r="5" spans="1:17" ht="16">
      <c r="B5" s="56"/>
      <c r="C5" s="56" t="s">
        <v>38</v>
      </c>
      <c r="D5" s="57" t="s">
        <v>75</v>
      </c>
      <c r="E5" s="58" t="s">
        <v>458</v>
      </c>
      <c r="F5" s="59">
        <f>1.05</f>
        <v>1.05</v>
      </c>
      <c r="G5" s="60">
        <f>2250/1.19</f>
        <v>1890.7563025210086</v>
      </c>
      <c r="H5" s="61">
        <f t="shared" ref="H5:H8" si="0">ROUND(F5*G5,3)</f>
        <v>1985.2940000000001</v>
      </c>
      <c r="J5" s="75">
        <f>F5*$F$4</f>
        <v>213.822</v>
      </c>
      <c r="K5" s="67">
        <f>H5*$F$4</f>
        <v>404285.27016000001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v>0.03</v>
      </c>
      <c r="G6" s="60">
        <v>2000</v>
      </c>
      <c r="H6" s="61">
        <f t="shared" si="0"/>
        <v>60</v>
      </c>
      <c r="J6" s="75">
        <f t="shared" ref="J6:J8" si="1">F6*$F$4</f>
        <v>6.1091999999999995</v>
      </c>
      <c r="K6" s="67">
        <f t="shared" ref="K6:K8" si="2">H6*$F$4</f>
        <v>12218.4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v>2.5000000000000001E-2</v>
      </c>
      <c r="G7" s="60">
        <v>4100</v>
      </c>
      <c r="H7" s="61">
        <f t="shared" si="0"/>
        <v>102.5</v>
      </c>
      <c r="J7" s="75">
        <f t="shared" si="1"/>
        <v>5.0910000000000002</v>
      </c>
      <c r="K7" s="67">
        <f t="shared" si="2"/>
        <v>20873.099999999999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v>1</v>
      </c>
      <c r="G8" s="60">
        <f>Met</f>
        <v>1500</v>
      </c>
      <c r="H8" s="61">
        <f t="shared" si="0"/>
        <v>1500</v>
      </c>
      <c r="J8" s="75">
        <f t="shared" si="1"/>
        <v>203.64</v>
      </c>
      <c r="K8" s="67">
        <f t="shared" si="2"/>
        <v>305460</v>
      </c>
    </row>
    <row r="9" spans="1:17" ht="16">
      <c r="B9" s="62"/>
      <c r="C9" s="62"/>
      <c r="D9" s="63"/>
      <c r="E9" s="64" t="s">
        <v>471</v>
      </c>
      <c r="F9" s="120">
        <f>$F$4</f>
        <v>203.64</v>
      </c>
      <c r="G9" s="65">
        <f>SUM(H5:H8)</f>
        <v>3647.7939999999999</v>
      </c>
      <c r="H9" s="65">
        <f t="shared" ref="H9" si="3">ROUND(F9*G9,3)</f>
        <v>742836.77</v>
      </c>
      <c r="K9" s="76">
        <f>SUM(K5:K8)</f>
        <v>742836.77016000007</v>
      </c>
    </row>
    <row r="11" spans="1:17">
      <c r="C11" s="66"/>
    </row>
  </sheetData>
  <dataValidations count="1">
    <dataValidation type="list" allowBlank="1" showErrorMessage="1" sqref="C9 C4" xr:uid="{C162A1BD-8592-4FBF-9676-31D3D94EF2A7}">
      <formula1>"Capítulo,Partida,Mano de obra,Maquinaria,Material,Otros,Tarea"</formula1>
    </dataValidation>
  </dataValidations>
  <hyperlinks>
    <hyperlink ref="B1" location="'01.- Presupuesto'!A1" display="02.- Presupuesto'!A1" xr:uid="{5E5930CD-CD08-284F-AC42-01D5BCE1C255}"/>
  </hyperlinks>
  <pageMargins left="0.7" right="0.7" top="0.75" bottom="0.75" header="0.3" footer="0.3"/>
  <pageSetup orientation="portrait" horizontalDpi="0" verticalDpi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1B1BC-9670-4EAD-AB32-67275142FF89}">
  <sheetPr>
    <tabColor theme="9" tint="0.59999389629810485"/>
  </sheetPr>
  <dimension ref="A1:Q11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278</v>
      </c>
      <c r="C4" s="53" t="s">
        <v>36</v>
      </c>
      <c r="D4" s="148" t="str">
        <f>'01.- Presupuesto'!F149</f>
        <v>kg</v>
      </c>
      <c r="E4" s="149" t="str">
        <f>'01.- Presupuesto'!C149</f>
        <v>Suministro e instalación uniones apernadas, arriostramientos, puntales, diagonales</v>
      </c>
      <c r="F4" s="73">
        <f>'01.- Presupuesto'!G149</f>
        <v>156.27925000000002</v>
      </c>
      <c r="G4" s="55">
        <f>G9</f>
        <v>3647.7939999999999</v>
      </c>
      <c r="H4" s="55">
        <f>H9</f>
        <v>570074.51</v>
      </c>
      <c r="J4" s="74" t="s">
        <v>30</v>
      </c>
      <c r="K4" s="74" t="s">
        <v>37</v>
      </c>
      <c r="M4" s="70">
        <f>SUMIF(C5:C21,"Material",K5:K21)</f>
        <v>335655.63547450001</v>
      </c>
      <c r="N4" s="70">
        <f>SUMIF(C5:C21,"Mano de Obra",K5:K21)</f>
        <v>0</v>
      </c>
      <c r="O4" s="70">
        <f>SUMIF(C5:C21,"Subcontrato",K5:K21)</f>
        <v>234418.87500000003</v>
      </c>
      <c r="P4" s="70">
        <f>SUMIF(C5:C21,"Ser&amp;Arr",K5:K21)</f>
        <v>0</v>
      </c>
      <c r="Q4" s="71">
        <f>SUM(M4:P4)</f>
        <v>570074.51047450001</v>
      </c>
    </row>
    <row r="5" spans="1:17" ht="16">
      <c r="B5" s="56"/>
      <c r="C5" s="56" t="s">
        <v>38</v>
      </c>
      <c r="D5" s="57" t="s">
        <v>75</v>
      </c>
      <c r="E5" s="58" t="s">
        <v>458</v>
      </c>
      <c r="F5" s="59">
        <f>1.05</f>
        <v>1.05</v>
      </c>
      <c r="G5" s="60">
        <f>2250/1.19</f>
        <v>1890.7563025210086</v>
      </c>
      <c r="H5" s="61">
        <f t="shared" ref="H5:H8" si="0">ROUND(F5*G5,3)</f>
        <v>1985.2940000000001</v>
      </c>
      <c r="J5" s="75">
        <f>F5*$F$4</f>
        <v>164.09321250000002</v>
      </c>
      <c r="K5" s="67">
        <f>H5*$F$4</f>
        <v>310260.25734950003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v>0.03</v>
      </c>
      <c r="G6" s="60">
        <v>2000</v>
      </c>
      <c r="H6" s="61">
        <f t="shared" si="0"/>
        <v>60</v>
      </c>
      <c r="J6" s="75">
        <f t="shared" ref="J6:J8" si="1">F6*$F$4</f>
        <v>4.6883775000000005</v>
      </c>
      <c r="K6" s="67">
        <f t="shared" ref="K6:K8" si="2">H6*$F$4</f>
        <v>9376.755000000001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v>2.5000000000000001E-2</v>
      </c>
      <c r="G7" s="60">
        <v>4100</v>
      </c>
      <c r="H7" s="61">
        <f t="shared" si="0"/>
        <v>102.5</v>
      </c>
      <c r="J7" s="75">
        <f t="shared" si="1"/>
        <v>3.9069812500000007</v>
      </c>
      <c r="K7" s="67">
        <f t="shared" si="2"/>
        <v>16018.623125000002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v>1</v>
      </c>
      <c r="G8" s="60">
        <f>Met</f>
        <v>1500</v>
      </c>
      <c r="H8" s="61">
        <f t="shared" si="0"/>
        <v>1500</v>
      </c>
      <c r="J8" s="75">
        <f t="shared" si="1"/>
        <v>156.27925000000002</v>
      </c>
      <c r="K8" s="67">
        <f t="shared" si="2"/>
        <v>234418.87500000003</v>
      </c>
    </row>
    <row r="9" spans="1:17" ht="16">
      <c r="B9" s="62"/>
      <c r="C9" s="62"/>
      <c r="D9" s="63"/>
      <c r="E9" s="64" t="s">
        <v>472</v>
      </c>
      <c r="F9" s="120">
        <f>$F$4</f>
        <v>156.27925000000002</v>
      </c>
      <c r="G9" s="65">
        <f>SUM(H5:H8)</f>
        <v>3647.7939999999999</v>
      </c>
      <c r="H9" s="65">
        <f t="shared" ref="H9" si="3">ROUND(F9*G9,3)</f>
        <v>570074.51</v>
      </c>
      <c r="K9" s="76">
        <f>SUM(K5:K8)</f>
        <v>570074.51047450001</v>
      </c>
    </row>
    <row r="11" spans="1:17">
      <c r="C11" s="66"/>
    </row>
  </sheetData>
  <dataValidations count="1">
    <dataValidation type="list" allowBlank="1" showErrorMessage="1" sqref="C9 C4" xr:uid="{F03D8826-C837-4CEE-87AC-59222DB74E3B}">
      <formula1>"Capítulo,Partida,Mano de obra,Maquinaria,Material,Otros,Tarea"</formula1>
    </dataValidation>
  </dataValidations>
  <hyperlinks>
    <hyperlink ref="B1" location="'01.- Presupuesto'!A1" display="02.- Presupuesto'!A1" xr:uid="{C7D494EC-CB46-A24C-9017-F2F6A87473F3}"/>
  </hyperlinks>
  <pageMargins left="0.7" right="0.7" top="0.75" bottom="0.75" header="0.3" footer="0.3"/>
  <pageSetup orientation="portrait" horizontalDpi="0" verticalDpi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4990-53B5-4E3F-8603-0C91ADE09929}">
  <sheetPr>
    <tabColor theme="9" tint="0.59999389629810485"/>
  </sheetPr>
  <dimension ref="A1:Q11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279</v>
      </c>
      <c r="C4" s="53" t="s">
        <v>36</v>
      </c>
      <c r="D4" s="148" t="str">
        <f>'01.- Presupuesto'!F150</f>
        <v>un</v>
      </c>
      <c r="E4" s="149" t="str">
        <f>'01.- Presupuesto'!C150</f>
        <v>Suministro e instalación pernos de uniones Ø5/8 A325-union viga columna, flexión</v>
      </c>
      <c r="F4" s="73">
        <f>'01.- Presupuesto'!G150</f>
        <v>144</v>
      </c>
      <c r="G4" s="55">
        <f>G9</f>
        <v>2171.4580000000001</v>
      </c>
      <c r="H4" s="55">
        <f>H9</f>
        <v>312689.95199999999</v>
      </c>
      <c r="J4" s="74" t="s">
        <v>30</v>
      </c>
      <c r="K4" s="74" t="s">
        <v>37</v>
      </c>
      <c r="M4" s="70">
        <f>SUMIF(C5:C21,"Material",K5:K21)</f>
        <v>103889.952</v>
      </c>
      <c r="N4" s="70">
        <f>SUMIF(C5:C21,"Mano de Obra",K5:K21)</f>
        <v>173999.95200000002</v>
      </c>
      <c r="O4" s="70">
        <f>SUMIF(C5:C21,"Subcontrato",K5:K21)</f>
        <v>0</v>
      </c>
      <c r="P4" s="70">
        <f>SUMIF(C5:C21,"Ser&amp;Arr",K5:K21)</f>
        <v>34800.048000000003</v>
      </c>
      <c r="Q4" s="71">
        <f>SUM(M4:P4)</f>
        <v>312689.95200000005</v>
      </c>
    </row>
    <row r="5" spans="1:17" ht="16">
      <c r="B5" s="56"/>
      <c r="C5" s="56" t="s">
        <v>38</v>
      </c>
      <c r="D5" s="57" t="s">
        <v>39</v>
      </c>
      <c r="E5" s="58" t="s">
        <v>514</v>
      </c>
      <c r="F5" s="59">
        <f>1/25</f>
        <v>0.04</v>
      </c>
      <c r="G5" s="60">
        <f>12770/1.19</f>
        <v>10731.09243697479</v>
      </c>
      <c r="H5" s="61">
        <f t="shared" ref="H5:H7" si="0">ROUND(F5*G5,3)</f>
        <v>429.24400000000003</v>
      </c>
      <c r="J5" s="75">
        <f>F5*$F$4</f>
        <v>5.76</v>
      </c>
      <c r="K5" s="67">
        <f>H5*$F$4</f>
        <v>61811.136000000006</v>
      </c>
    </row>
    <row r="6" spans="1:17" ht="16">
      <c r="B6" s="56"/>
      <c r="C6" s="56" t="s">
        <v>38</v>
      </c>
      <c r="D6" s="57" t="s">
        <v>39</v>
      </c>
      <c r="E6" s="58" t="s">
        <v>433</v>
      </c>
      <c r="F6" s="59">
        <f>1.1*1/49</f>
        <v>2.2448979591836737E-2</v>
      </c>
      <c r="G6" s="60">
        <f>15490/1.19</f>
        <v>13016.806722689076</v>
      </c>
      <c r="H6" s="61">
        <f t="shared" si="0"/>
        <v>292.214</v>
      </c>
      <c r="J6" s="75">
        <f t="shared" ref="J6:J8" si="1">F6*$F$4</f>
        <v>3.2326530612244899</v>
      </c>
      <c r="K6" s="67">
        <f t="shared" ref="K6:K8" si="2">H6*$F$4</f>
        <v>42078.815999999999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1/6</f>
        <v>0.16666666666666666</v>
      </c>
      <c r="G7" s="60">
        <f>Maestro</f>
        <v>7250</v>
      </c>
      <c r="H7" s="61">
        <f t="shared" si="0"/>
        <v>1208.3330000000001</v>
      </c>
      <c r="J7" s="75">
        <f t="shared" si="1"/>
        <v>24</v>
      </c>
      <c r="K7" s="67">
        <f t="shared" si="2"/>
        <v>173999.95200000002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SUM(H7:H7)</f>
        <v>1208.3330000000001</v>
      </c>
      <c r="H8" s="61">
        <f>ROUND(F8*G8,3)</f>
        <v>241.667</v>
      </c>
      <c r="J8" s="75">
        <f t="shared" si="1"/>
        <v>28.8</v>
      </c>
      <c r="K8" s="67">
        <f t="shared" si="2"/>
        <v>34800.048000000003</v>
      </c>
    </row>
    <row r="9" spans="1:17" ht="16">
      <c r="B9" s="62"/>
      <c r="C9" s="62"/>
      <c r="D9" s="63"/>
      <c r="E9" s="64" t="s">
        <v>518</v>
      </c>
      <c r="F9" s="120">
        <f>$F$4</f>
        <v>144</v>
      </c>
      <c r="G9" s="65">
        <f>SUM(H5:H8)</f>
        <v>2171.4580000000001</v>
      </c>
      <c r="H9" s="65">
        <f t="shared" ref="H9" si="3">ROUND(F9*G9,3)</f>
        <v>312689.95199999999</v>
      </c>
      <c r="K9" s="76">
        <f>SUM(K5:K8)</f>
        <v>312689.95200000005</v>
      </c>
    </row>
    <row r="11" spans="1:17">
      <c r="C11" s="66"/>
    </row>
  </sheetData>
  <dataValidations disablePrompts="1" count="1">
    <dataValidation type="list" allowBlank="1" showErrorMessage="1" sqref="C9 C4" xr:uid="{574CC04F-D7FC-4C50-A0F0-EC3C76527339}">
      <formula1>"Capítulo,Partida,Mano de obra,Maquinaria,Material,Otros,Tarea"</formula1>
    </dataValidation>
  </dataValidations>
  <hyperlinks>
    <hyperlink ref="B1" location="'01.- Presupuesto'!A1" display="02.- Presupuesto'!A1" xr:uid="{98DF0634-3761-2946-8DFD-49AD8664DE8E}"/>
  </hyperlinks>
  <pageMargins left="0.7" right="0.7" top="0.75" bottom="0.75" header="0.3" footer="0.3"/>
  <pageSetup orientation="portrait" horizontalDpi="0" verticalDpi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1206-9BFC-47AB-9A18-1CAB2A438879}">
  <sheetPr>
    <tabColor theme="9" tint="0.59999389629810485"/>
  </sheetPr>
  <dimension ref="A1:Q11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280</v>
      </c>
      <c r="C4" s="53" t="s">
        <v>36</v>
      </c>
      <c r="D4" s="148" t="str">
        <f>'01.- Presupuesto'!F151</f>
        <v>un</v>
      </c>
      <c r="E4" s="149" t="str">
        <f>'01.- Presupuesto'!C151</f>
        <v>Suministro e instalación pernos de uniones Ø1/2 A325-union viga columna, corte</v>
      </c>
      <c r="F4" s="73">
        <f>'01.- Presupuesto'!G151</f>
        <v>48</v>
      </c>
      <c r="G4" s="55">
        <f>G9</f>
        <v>2038.0119999999999</v>
      </c>
      <c r="H4" s="55">
        <f>H9</f>
        <v>97824.576000000001</v>
      </c>
      <c r="J4" s="74" t="s">
        <v>30</v>
      </c>
      <c r="K4" s="74" t="s">
        <v>37</v>
      </c>
      <c r="M4" s="70">
        <f>SUMIF(C5:C21,"Material",K5:K21)</f>
        <v>28224.576000000001</v>
      </c>
      <c r="N4" s="70">
        <f>SUMIF(C5:C21,"Mano de Obra",K5:K21)</f>
        <v>57999.984000000004</v>
      </c>
      <c r="O4" s="70">
        <f>SUMIF(C5:C21,"Subcontrato",K5:K21)</f>
        <v>0</v>
      </c>
      <c r="P4" s="70">
        <f>SUMIF(C5:C21,"Ser&amp;Arr",K5:K21)</f>
        <v>11600.016</v>
      </c>
      <c r="Q4" s="71">
        <f>SUM(M4:P4)</f>
        <v>97824.576000000001</v>
      </c>
    </row>
    <row r="5" spans="1:17" ht="16">
      <c r="B5" s="56"/>
      <c r="C5" s="56" t="s">
        <v>38</v>
      </c>
      <c r="D5" s="57" t="s">
        <v>39</v>
      </c>
      <c r="E5" s="58" t="s">
        <v>515</v>
      </c>
      <c r="F5" s="59">
        <f>1/100</f>
        <v>0.01</v>
      </c>
      <c r="G5" s="60">
        <f>35200/1.19</f>
        <v>29579.831932773111</v>
      </c>
      <c r="H5" s="61">
        <f t="shared" ref="H5:H7" si="0">ROUND(F5*G5,3)</f>
        <v>295.798</v>
      </c>
      <c r="J5" s="75">
        <f>F5*$F$4</f>
        <v>0.48</v>
      </c>
      <c r="K5" s="67">
        <f>H5*$F$4</f>
        <v>14198.304</v>
      </c>
    </row>
    <row r="6" spans="1:17" ht="16">
      <c r="B6" s="56"/>
      <c r="C6" s="56" t="s">
        <v>38</v>
      </c>
      <c r="D6" s="57" t="s">
        <v>39</v>
      </c>
      <c r="E6" s="58" t="s">
        <v>433</v>
      </c>
      <c r="F6" s="59">
        <f>1.1*1/49</f>
        <v>2.2448979591836737E-2</v>
      </c>
      <c r="G6" s="60">
        <f>15490/1.19</f>
        <v>13016.806722689076</v>
      </c>
      <c r="H6" s="61">
        <f t="shared" si="0"/>
        <v>292.214</v>
      </c>
      <c r="J6" s="75">
        <f t="shared" ref="J6:J8" si="1">F6*$F$4</f>
        <v>1.0775510204081633</v>
      </c>
      <c r="K6" s="67">
        <f t="shared" ref="K6:K8" si="2">H6*$F$4</f>
        <v>14026.272000000001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1/6</f>
        <v>0.16666666666666666</v>
      </c>
      <c r="G7" s="60">
        <f>Maestro</f>
        <v>7250</v>
      </c>
      <c r="H7" s="61">
        <f t="shared" si="0"/>
        <v>1208.3330000000001</v>
      </c>
      <c r="J7" s="75">
        <f t="shared" si="1"/>
        <v>8</v>
      </c>
      <c r="K7" s="67">
        <f t="shared" si="2"/>
        <v>57999.984000000004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SUM(H7:H7)</f>
        <v>1208.3330000000001</v>
      </c>
      <c r="H8" s="61">
        <f>ROUND(F8*G8,3)</f>
        <v>241.667</v>
      </c>
      <c r="J8" s="75">
        <f t="shared" si="1"/>
        <v>9.6000000000000014</v>
      </c>
      <c r="K8" s="67">
        <f t="shared" si="2"/>
        <v>11600.016</v>
      </c>
    </row>
    <row r="9" spans="1:17" ht="16">
      <c r="B9" s="62"/>
      <c r="C9" s="62"/>
      <c r="D9" s="63"/>
      <c r="E9" s="64" t="s">
        <v>517</v>
      </c>
      <c r="F9" s="120">
        <f>$F$4</f>
        <v>48</v>
      </c>
      <c r="G9" s="65">
        <f>SUM(H5:H8)</f>
        <v>2038.0119999999999</v>
      </c>
      <c r="H9" s="65">
        <f t="shared" ref="H9" si="3">ROUND(F9*G9,3)</f>
        <v>97824.576000000001</v>
      </c>
      <c r="K9" s="76">
        <f>SUM(K5:K8)</f>
        <v>97824.576000000001</v>
      </c>
    </row>
    <row r="11" spans="1:17">
      <c r="C11" s="66"/>
    </row>
  </sheetData>
  <dataValidations count="1">
    <dataValidation type="list" allowBlank="1" showErrorMessage="1" sqref="C9 C4" xr:uid="{DA064DEB-7514-47F6-8BB7-BEBFA7C42105}">
      <formula1>"Capítulo,Partida,Mano de obra,Maquinaria,Material,Otros,Tarea"</formula1>
    </dataValidation>
  </dataValidations>
  <hyperlinks>
    <hyperlink ref="B1" location="'01.- Presupuesto'!A1" display="02.- Presupuesto'!A1" xr:uid="{262C1151-FEE5-2342-953A-2215EFF6F802}"/>
  </hyperlinks>
  <pageMargins left="0.7" right="0.7" top="0.75" bottom="0.75" header="0.3" footer="0.3"/>
  <pageSetup orientation="portrait" horizontalDpi="0" verticalDpi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020E-7D0C-4BA2-B285-8A9036F653DA}">
  <sheetPr>
    <tabColor theme="9" tint="0.59999389629810485"/>
  </sheetPr>
  <dimension ref="A1:Q11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281</v>
      </c>
      <c r="C4" s="53" t="s">
        <v>36</v>
      </c>
      <c r="D4" s="148" t="str">
        <f>'01.- Presupuesto'!F152</f>
        <v>un</v>
      </c>
      <c r="E4" s="149" t="str">
        <f>'01.- Presupuesto'!C152</f>
        <v>Suministro e instalación pernos de uniones Ø1/2 A325-uniones</v>
      </c>
      <c r="F4" s="73">
        <f>'01.- Presupuesto'!G152</f>
        <v>112</v>
      </c>
      <c r="G4" s="55">
        <f>G9</f>
        <v>2038.0119999999999</v>
      </c>
      <c r="H4" s="55">
        <f>H9</f>
        <v>228257.34400000001</v>
      </c>
      <c r="J4" s="74" t="s">
        <v>30</v>
      </c>
      <c r="K4" s="74" t="s">
        <v>37</v>
      </c>
      <c r="M4" s="70">
        <f>SUMIF(C5:C21,"Material",K5:K21)</f>
        <v>65857.344000000012</v>
      </c>
      <c r="N4" s="70">
        <f>SUMIF(C5:C21,"Mano de Obra",K5:K21)</f>
        <v>135333.296</v>
      </c>
      <c r="O4" s="70">
        <f>SUMIF(C5:C21,"Subcontrato",K5:K21)</f>
        <v>0</v>
      </c>
      <c r="P4" s="70">
        <f>SUMIF(C5:C21,"Ser&amp;Arr",K5:K21)</f>
        <v>27066.704000000002</v>
      </c>
      <c r="Q4" s="71">
        <f>SUM(M4:P4)</f>
        <v>228257.34400000001</v>
      </c>
    </row>
    <row r="5" spans="1:17" ht="16">
      <c r="B5" s="56"/>
      <c r="C5" s="56" t="s">
        <v>38</v>
      </c>
      <c r="D5" s="57" t="s">
        <v>39</v>
      </c>
      <c r="E5" s="58" t="s">
        <v>515</v>
      </c>
      <c r="F5" s="59">
        <f>1/100</f>
        <v>0.01</v>
      </c>
      <c r="G5" s="60">
        <f>35200/1.19</f>
        <v>29579.831932773111</v>
      </c>
      <c r="H5" s="61">
        <f t="shared" ref="H5:H7" si="0">ROUND(F5*G5,3)</f>
        <v>295.798</v>
      </c>
      <c r="J5" s="75">
        <f>F5*$F$4</f>
        <v>1.1200000000000001</v>
      </c>
      <c r="K5" s="67">
        <f>H5*$F$4</f>
        <v>33129.376000000004</v>
      </c>
    </row>
    <row r="6" spans="1:17" ht="16">
      <c r="B6" s="56"/>
      <c r="C6" s="56" t="s">
        <v>38</v>
      </c>
      <c r="D6" s="57" t="s">
        <v>39</v>
      </c>
      <c r="E6" s="58" t="s">
        <v>433</v>
      </c>
      <c r="F6" s="59">
        <f>1.1*1/49</f>
        <v>2.2448979591836737E-2</v>
      </c>
      <c r="G6" s="60">
        <f>15490/1.19</f>
        <v>13016.806722689076</v>
      </c>
      <c r="H6" s="61">
        <f t="shared" si="0"/>
        <v>292.214</v>
      </c>
      <c r="J6" s="75">
        <f t="shared" ref="J6:J8" si="1">F6*$F$4</f>
        <v>2.5142857142857147</v>
      </c>
      <c r="K6" s="67">
        <f t="shared" ref="K6:K8" si="2">H6*$F$4</f>
        <v>32727.968000000001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1/6</f>
        <v>0.16666666666666666</v>
      </c>
      <c r="G7" s="60">
        <f>Maestro</f>
        <v>7250</v>
      </c>
      <c r="H7" s="61">
        <f t="shared" si="0"/>
        <v>1208.3330000000001</v>
      </c>
      <c r="J7" s="75">
        <f t="shared" si="1"/>
        <v>18.666666666666664</v>
      </c>
      <c r="K7" s="67">
        <f t="shared" si="2"/>
        <v>135333.296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SUM(H7:H7)</f>
        <v>1208.3330000000001</v>
      </c>
      <c r="H8" s="61">
        <f>ROUND(F8*G8,3)</f>
        <v>241.667</v>
      </c>
      <c r="J8" s="75">
        <f t="shared" si="1"/>
        <v>22.400000000000002</v>
      </c>
      <c r="K8" s="67">
        <f t="shared" si="2"/>
        <v>27066.704000000002</v>
      </c>
    </row>
    <row r="9" spans="1:17" ht="16">
      <c r="B9" s="62"/>
      <c r="C9" s="62"/>
      <c r="D9" s="63"/>
      <c r="E9" s="64" t="s">
        <v>516</v>
      </c>
      <c r="F9" s="120">
        <f>$F$4</f>
        <v>112</v>
      </c>
      <c r="G9" s="65">
        <f>SUM(H5:H8)</f>
        <v>2038.0119999999999</v>
      </c>
      <c r="H9" s="65">
        <f t="shared" ref="H9" si="3">ROUND(F9*G9,3)</f>
        <v>228257.34400000001</v>
      </c>
      <c r="K9" s="76">
        <f>SUM(K5:K8)</f>
        <v>228257.34400000001</v>
      </c>
    </row>
    <row r="11" spans="1:17">
      <c r="C11" s="66"/>
    </row>
  </sheetData>
  <dataValidations count="1">
    <dataValidation type="list" allowBlank="1" showErrorMessage="1" sqref="C9 C4" xr:uid="{5583A9EC-962A-4516-82E6-80F699DE5BAB}">
      <formula1>"Capítulo,Partida,Mano de obra,Maquinaria,Material,Otros,Tarea"</formula1>
    </dataValidation>
  </dataValidations>
  <hyperlinks>
    <hyperlink ref="B1" location="'01.- Presupuesto'!A1" display="02.- Presupuesto'!A1" xr:uid="{38FAB5F8-4294-DA43-8281-C55C53D65FE0}"/>
  </hyperlinks>
  <pageMargins left="0.7" right="0.7" top="0.75" bottom="0.75" header="0.3" footer="0.3"/>
  <pageSetup orientation="portrait" horizontalDpi="0" verticalDpi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BF57-CCD1-4AA0-96ED-3AB8043CE3AB}">
  <sheetPr>
    <tabColor theme="9" tint="0.59999389629810485"/>
  </sheetPr>
  <dimension ref="A1:Q11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282</v>
      </c>
      <c r="C4" s="53" t="s">
        <v>36</v>
      </c>
      <c r="D4" s="148" t="str">
        <f>'01.- Presupuesto'!F153</f>
        <v>kg</v>
      </c>
      <c r="E4" s="149" t="str">
        <f>'01.- Presupuesto'!C153</f>
        <v>Suministro e instalación de perfiles metálicos cuadrados para iluminación 75x75x3</v>
      </c>
      <c r="F4" s="73">
        <f>'01.- Presupuesto'!G153</f>
        <v>585</v>
      </c>
      <c r="G4" s="55">
        <f>G9</f>
        <v>3647.7939999999999</v>
      </c>
      <c r="H4" s="55">
        <f>H9</f>
        <v>2133959.4900000002</v>
      </c>
      <c r="J4" s="74" t="s">
        <v>30</v>
      </c>
      <c r="K4" s="74" t="s">
        <v>37</v>
      </c>
      <c r="M4" s="70">
        <f>SUMIF(C5:C21,"Material",K5:K21)</f>
        <v>1256459.49</v>
      </c>
      <c r="N4" s="70">
        <f>SUMIF(C5:C21,"Mano de Obra",K5:K21)</f>
        <v>0</v>
      </c>
      <c r="O4" s="70">
        <f>SUMIF(C5:C21,"Subcontrato",K5:K21)</f>
        <v>877500</v>
      </c>
      <c r="P4" s="70">
        <f>SUMIF(C5:C21,"Ser&amp;Arr",K5:K21)</f>
        <v>0</v>
      </c>
      <c r="Q4" s="71">
        <f>SUM(M4:P4)</f>
        <v>2133959.4900000002</v>
      </c>
    </row>
    <row r="5" spans="1:17" ht="16">
      <c r="B5" s="56"/>
      <c r="C5" s="56" t="s">
        <v>38</v>
      </c>
      <c r="D5" s="57" t="s">
        <v>75</v>
      </c>
      <c r="E5" s="58" t="s">
        <v>458</v>
      </c>
      <c r="F5" s="59">
        <f>1.05</f>
        <v>1.05</v>
      </c>
      <c r="G5" s="60">
        <f>2250/1.19</f>
        <v>1890.7563025210086</v>
      </c>
      <c r="H5" s="61">
        <f t="shared" ref="H5:H8" si="0">ROUND(F5*G5,3)</f>
        <v>1985.2940000000001</v>
      </c>
      <c r="J5" s="75">
        <f>F5*$F$4</f>
        <v>614.25</v>
      </c>
      <c r="K5" s="67">
        <f>H5*$F$4</f>
        <v>1161396.99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v>0.03</v>
      </c>
      <c r="G6" s="60">
        <v>2000</v>
      </c>
      <c r="H6" s="61">
        <f t="shared" si="0"/>
        <v>60</v>
      </c>
      <c r="J6" s="75">
        <f t="shared" ref="J6:J8" si="1">F6*$F$4</f>
        <v>17.55</v>
      </c>
      <c r="K6" s="67">
        <f t="shared" ref="K6:K8" si="2">H6*$F$4</f>
        <v>35100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v>2.5000000000000001E-2</v>
      </c>
      <c r="G7" s="60">
        <v>4100</v>
      </c>
      <c r="H7" s="61">
        <f t="shared" si="0"/>
        <v>102.5</v>
      </c>
      <c r="J7" s="75">
        <f t="shared" si="1"/>
        <v>14.625</v>
      </c>
      <c r="K7" s="67">
        <f t="shared" si="2"/>
        <v>59962.5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v>1</v>
      </c>
      <c r="G8" s="60">
        <f>Met</f>
        <v>1500</v>
      </c>
      <c r="H8" s="61">
        <f t="shared" si="0"/>
        <v>1500</v>
      </c>
      <c r="J8" s="75">
        <f t="shared" si="1"/>
        <v>585</v>
      </c>
      <c r="K8" s="67">
        <f t="shared" si="2"/>
        <v>877500</v>
      </c>
    </row>
    <row r="9" spans="1:17" ht="16">
      <c r="B9" s="62"/>
      <c r="C9" s="62"/>
      <c r="D9" s="63"/>
      <c r="E9" s="64" t="s">
        <v>473</v>
      </c>
      <c r="F9" s="120">
        <f>$F$4</f>
        <v>585</v>
      </c>
      <c r="G9" s="65">
        <f>SUM(H5:H8)</f>
        <v>3647.7939999999999</v>
      </c>
      <c r="H9" s="65">
        <f t="shared" ref="H9" si="3">ROUND(F9*G9,3)</f>
        <v>2133959.4900000002</v>
      </c>
      <c r="K9" s="76">
        <f>SUM(K5:K8)</f>
        <v>2133959.4900000002</v>
      </c>
    </row>
    <row r="11" spans="1:17">
      <c r="C11" s="66"/>
    </row>
  </sheetData>
  <dataValidations count="1">
    <dataValidation type="list" allowBlank="1" showErrorMessage="1" sqref="C9 C4" xr:uid="{BB238B0D-3A40-4829-9864-67C6D9B14248}">
      <formula1>"Capítulo,Partida,Mano de obra,Maquinaria,Material,Otros,Tarea"</formula1>
    </dataValidation>
  </dataValidations>
  <hyperlinks>
    <hyperlink ref="B1" location="'01.- Presupuesto'!A1" display="02.- Presupuesto'!A1" xr:uid="{7581D975-19A5-1C4A-8B42-99EBBB410128}"/>
  </hyperlinks>
  <pageMargins left="0.7" right="0.7" top="0.75" bottom="0.75" header="0.3" footer="0.3"/>
  <pageSetup orientation="portrait" horizontalDpi="0" verticalDpi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1C0E-1900-4840-8B49-90B6E3B2F2D2}">
  <sheetPr>
    <tabColor theme="9" tint="0.59999389629810485"/>
  </sheetPr>
  <dimension ref="A1:Q14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290</v>
      </c>
      <c r="C4" s="53" t="s">
        <v>36</v>
      </c>
      <c r="D4" s="148" t="str">
        <f>'01.- Presupuesto'!F155</f>
        <v>kg</v>
      </c>
      <c r="E4" s="149" t="str">
        <f>'01.- Presupuesto'!C155</f>
        <v>Suministro e instalación perfiles y placa 1,2 portones de acceso, color RAL 7040</v>
      </c>
      <c r="F4" s="73">
        <f>'01.- Presupuesto'!G155</f>
        <v>829.03500000000008</v>
      </c>
      <c r="G4" s="55">
        <f>G12</f>
        <v>3769.7509999999997</v>
      </c>
      <c r="H4" s="55">
        <f>H12</f>
        <v>3125255.52</v>
      </c>
      <c r="J4" s="74" t="s">
        <v>30</v>
      </c>
      <c r="K4" s="74" t="s">
        <v>37</v>
      </c>
      <c r="M4" s="70">
        <f>SUMIF(C5:C24,"Material",K5:K24)</f>
        <v>1804369.8064500003</v>
      </c>
      <c r="N4" s="70">
        <f>SUMIF(C5:C24,"Mano de Obra",K5:K24)</f>
        <v>64444.206689999999</v>
      </c>
      <c r="O4" s="70">
        <f>SUMIF(C5:C24,"Subcontrato",K5:K24)</f>
        <v>1243552.5000000002</v>
      </c>
      <c r="P4" s="70">
        <f>SUMIF(C5:C24,"Ser&amp;Arr",K5:K24)</f>
        <v>12889.007145000001</v>
      </c>
      <c r="Q4" s="71">
        <f>SUM(M4:P4)</f>
        <v>3125255.5202850006</v>
      </c>
    </row>
    <row r="5" spans="1:17" ht="16">
      <c r="B5" s="56"/>
      <c r="C5" s="56" t="s">
        <v>38</v>
      </c>
      <c r="D5" s="57" t="s">
        <v>75</v>
      </c>
      <c r="E5" s="58" t="s">
        <v>458</v>
      </c>
      <c r="F5" s="59">
        <f>1.05</f>
        <v>1.05</v>
      </c>
      <c r="G5" s="60">
        <f>2250/1.19</f>
        <v>1890.7563025210086</v>
      </c>
      <c r="H5" s="61">
        <f t="shared" ref="H5:H8" si="0">ROUND(F5*G5,3)</f>
        <v>1985.2940000000001</v>
      </c>
      <c r="J5" s="75">
        <f>F5*$F$4</f>
        <v>870.48675000000014</v>
      </c>
      <c r="K5" s="67">
        <f>H5*$F$4</f>
        <v>1645878.2112900002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v>0.03</v>
      </c>
      <c r="G6" s="60">
        <v>2000</v>
      </c>
      <c r="H6" s="61">
        <f t="shared" si="0"/>
        <v>60</v>
      </c>
      <c r="J6" s="75">
        <f t="shared" ref="J6:J10" si="1">F6*$F$4</f>
        <v>24.87105</v>
      </c>
      <c r="K6" s="67">
        <f t="shared" ref="K6:K10" si="2">H6*$F$4</f>
        <v>49742.100000000006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v>2.5000000000000001E-2</v>
      </c>
      <c r="G7" s="60">
        <v>4100</v>
      </c>
      <c r="H7" s="61">
        <f t="shared" si="0"/>
        <v>102.5</v>
      </c>
      <c r="J7" s="75">
        <f t="shared" si="1"/>
        <v>20.725875000000002</v>
      </c>
      <c r="K7" s="67">
        <f t="shared" si="2"/>
        <v>84976.087500000009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v>1</v>
      </c>
      <c r="G8" s="60">
        <f>Met</f>
        <v>1500</v>
      </c>
      <c r="H8" s="61">
        <f t="shared" si="0"/>
        <v>1500</v>
      </c>
      <c r="J8" s="75">
        <f t="shared" si="1"/>
        <v>829.03500000000008</v>
      </c>
      <c r="K8" s="67">
        <f t="shared" si="2"/>
        <v>1243552.5000000002</v>
      </c>
    </row>
    <row r="9" spans="1:17" ht="16">
      <c r="B9" s="56"/>
      <c r="C9" s="56" t="s">
        <v>38</v>
      </c>
      <c r="D9" s="57" t="s">
        <v>76</v>
      </c>
      <c r="E9" s="58" t="s">
        <v>491</v>
      </c>
      <c r="F9" s="59">
        <f>1/F4</f>
        <v>1.2062216914846778E-3</v>
      </c>
      <c r="G9" s="60">
        <f>28290/1.19</f>
        <v>23773.10924369748</v>
      </c>
      <c r="H9" s="61">
        <f t="shared" ref="H9" si="3">ROUND(F9*G9,3)</f>
        <v>28.675999999999998</v>
      </c>
      <c r="J9" s="75">
        <f>F9*$F$4</f>
        <v>1</v>
      </c>
      <c r="K9" s="67">
        <f>H9*$F$4</f>
        <v>23773.407660000001</v>
      </c>
    </row>
    <row r="10" spans="1:17" ht="16">
      <c r="B10" s="56"/>
      <c r="C10" s="56" t="s">
        <v>40</v>
      </c>
      <c r="D10" s="57" t="s">
        <v>41</v>
      </c>
      <c r="E10" s="58" t="s">
        <v>93</v>
      </c>
      <c r="F10" s="59">
        <f>8/F4</f>
        <v>9.6497735318774227E-3</v>
      </c>
      <c r="G10" s="60">
        <f>Pintor</f>
        <v>8055.5555555555557</v>
      </c>
      <c r="H10" s="61">
        <f t="shared" ref="H10:H12" si="4">ROUND(F10*G10,3)</f>
        <v>77.733999999999995</v>
      </c>
      <c r="J10" s="75">
        <f t="shared" si="1"/>
        <v>8</v>
      </c>
      <c r="K10" s="67">
        <f t="shared" si="2"/>
        <v>64444.206689999999</v>
      </c>
    </row>
    <row r="11" spans="1:17" ht="16">
      <c r="B11" s="56"/>
      <c r="C11" s="56" t="s">
        <v>54</v>
      </c>
      <c r="D11" s="57" t="s">
        <v>42</v>
      </c>
      <c r="E11" s="58" t="s">
        <v>55</v>
      </c>
      <c r="F11" s="59">
        <v>0.2</v>
      </c>
      <c r="G11" s="60">
        <f>SUM(H10:H10)</f>
        <v>77.733999999999995</v>
      </c>
      <c r="H11" s="61">
        <f>ROUND(F11*G11,3)</f>
        <v>15.547000000000001</v>
      </c>
      <c r="J11" s="75">
        <f>F11*$F$4</f>
        <v>165.80700000000002</v>
      </c>
      <c r="K11" s="67">
        <f>H11*$F$4</f>
        <v>12889.007145000001</v>
      </c>
    </row>
    <row r="12" spans="1:17" ht="16">
      <c r="B12" s="62"/>
      <c r="C12" s="62"/>
      <c r="D12" s="63"/>
      <c r="E12" s="64" t="s">
        <v>492</v>
      </c>
      <c r="F12" s="120">
        <f>$F$4</f>
        <v>829.03500000000008</v>
      </c>
      <c r="G12" s="65">
        <f>SUM(H5:H11)</f>
        <v>3769.7509999999997</v>
      </c>
      <c r="H12" s="65">
        <f t="shared" si="4"/>
        <v>3125255.52</v>
      </c>
      <c r="K12" s="76">
        <f>SUM(K5:K11)</f>
        <v>3125255.5202850006</v>
      </c>
    </row>
    <row r="14" spans="1:17">
      <c r="C14" s="66"/>
    </row>
  </sheetData>
  <dataValidations count="1">
    <dataValidation type="list" allowBlank="1" showErrorMessage="1" sqref="C12 C4" xr:uid="{FDFA3C09-0F3D-4C91-947F-2972C7A1E5A5}">
      <formula1>"Capítulo,Partida,Mano de obra,Maquinaria,Material,Otros,Tarea"</formula1>
    </dataValidation>
  </dataValidations>
  <hyperlinks>
    <hyperlink ref="B1" location="'01.- Presupuesto'!A1" display="02.- Presupuesto'!A1" xr:uid="{1F8A9210-CB3F-2C42-8887-2FC3B24CDC82}"/>
  </hyperlinks>
  <pageMargins left="0.7" right="0.7" top="0.75" bottom="0.75" header="0.3" footer="0.3"/>
  <pageSetup orientation="portrait" horizontalDpi="0" verticalDpi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B46E-1502-4759-B40D-09153B5EC65E}">
  <sheetPr>
    <tabColor theme="9" tint="0.59999389629810485"/>
  </sheetPr>
  <dimension ref="A1:Q12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291</v>
      </c>
      <c r="C4" s="53" t="s">
        <v>36</v>
      </c>
      <c r="D4" s="148" t="str">
        <f>'01.- Presupuesto'!F156</f>
        <v>gl</v>
      </c>
      <c r="E4" s="149" t="str">
        <f>'01.- Presupuesto'!C156</f>
        <v>Suministro e instalación ruedas superiores e inferiores, riel superior, Prodalam o similar técnico</v>
      </c>
      <c r="F4" s="73">
        <f>'01.- Presupuesto'!G156</f>
        <v>1</v>
      </c>
      <c r="G4" s="55">
        <f>G10</f>
        <v>71734.244000000006</v>
      </c>
      <c r="H4" s="55">
        <f>H10</f>
        <v>71734.244000000006</v>
      </c>
      <c r="J4" s="74" t="s">
        <v>30</v>
      </c>
      <c r="K4" s="74" t="s">
        <v>37</v>
      </c>
      <c r="M4" s="70">
        <f>SUMIF(C5:C22,"Material",K5:K22)</f>
        <v>56734.244000000006</v>
      </c>
      <c r="N4" s="70">
        <f>SUMIF(C5:C22,"Mano de Obra",K5:K22)</f>
        <v>0</v>
      </c>
      <c r="O4" s="70">
        <f>SUMIF(C5:C22,"Subcontrato",K5:K22)</f>
        <v>15000</v>
      </c>
      <c r="P4" s="70">
        <f>SUMIF(C5:C22,"Ser&amp;Arr",K5:K22)</f>
        <v>0</v>
      </c>
      <c r="Q4" s="71">
        <f>SUM(M4:P4)</f>
        <v>71734.244000000006</v>
      </c>
    </row>
    <row r="5" spans="1:17" ht="16">
      <c r="B5" s="56"/>
      <c r="C5" s="56" t="s">
        <v>38</v>
      </c>
      <c r="D5" s="57" t="s">
        <v>39</v>
      </c>
      <c r="E5" s="58" t="s">
        <v>493</v>
      </c>
      <c r="F5" s="59">
        <v>1</v>
      </c>
      <c r="G5" s="60">
        <f>49790/1.19</f>
        <v>41840.336134453784</v>
      </c>
      <c r="H5" s="61">
        <f t="shared" ref="H5:H9" si="0">ROUND(F5*G5,3)</f>
        <v>41840.336000000003</v>
      </c>
      <c r="J5" s="75">
        <f>F5*$F$4</f>
        <v>1</v>
      </c>
      <c r="K5" s="67">
        <f>H5*$F$4</f>
        <v>41840.336000000003</v>
      </c>
    </row>
    <row r="6" spans="1:17" ht="16">
      <c r="B6" s="56"/>
      <c r="C6" s="56" t="s">
        <v>38</v>
      </c>
      <c r="D6" s="57" t="s">
        <v>39</v>
      </c>
      <c r="E6" s="58" t="s">
        <v>494</v>
      </c>
      <c r="F6" s="59">
        <v>4</v>
      </c>
      <c r="G6" s="60">
        <f>15790/1.19/4</f>
        <v>3317.2268907563025</v>
      </c>
      <c r="H6" s="61">
        <f t="shared" ref="H6" si="1">ROUND(F6*G6,3)</f>
        <v>13268.907999999999</v>
      </c>
      <c r="J6" s="75">
        <f>F6*$F$4</f>
        <v>4</v>
      </c>
      <c r="K6" s="67">
        <f>H6*$F$4</f>
        <v>13268.907999999999</v>
      </c>
    </row>
    <row r="7" spans="1:17" ht="16">
      <c r="B7" s="56"/>
      <c r="C7" s="56" t="s">
        <v>38</v>
      </c>
      <c r="D7" s="57" t="s">
        <v>396</v>
      </c>
      <c r="E7" s="58" t="s">
        <v>459</v>
      </c>
      <c r="F7" s="59">
        <f>F9*0.03</f>
        <v>0.3</v>
      </c>
      <c r="G7" s="60">
        <v>2000</v>
      </c>
      <c r="H7" s="61">
        <f t="shared" si="0"/>
        <v>600</v>
      </c>
      <c r="J7" s="75">
        <f t="shared" ref="J7:J9" si="2">F7*$F$4</f>
        <v>0.3</v>
      </c>
      <c r="K7" s="67">
        <f t="shared" ref="K7:K9" si="3">H7*$F$4</f>
        <v>600</v>
      </c>
    </row>
    <row r="8" spans="1:17" ht="16">
      <c r="B8" s="56"/>
      <c r="C8" s="56" t="s">
        <v>38</v>
      </c>
      <c r="D8" s="57" t="s">
        <v>396</v>
      </c>
      <c r="E8" s="58" t="s">
        <v>460</v>
      </c>
      <c r="F8" s="59">
        <f>F9*0.025</f>
        <v>0.25</v>
      </c>
      <c r="G8" s="60">
        <v>4100</v>
      </c>
      <c r="H8" s="61">
        <f t="shared" si="0"/>
        <v>1025</v>
      </c>
      <c r="J8" s="75">
        <f t="shared" si="2"/>
        <v>0.25</v>
      </c>
      <c r="K8" s="67">
        <f t="shared" si="3"/>
        <v>1025</v>
      </c>
    </row>
    <row r="9" spans="1:17" ht="16">
      <c r="B9" s="56"/>
      <c r="C9" s="56" t="s">
        <v>94</v>
      </c>
      <c r="D9" s="57" t="s">
        <v>396</v>
      </c>
      <c r="E9" s="58" t="s">
        <v>481</v>
      </c>
      <c r="F9" s="59">
        <f>10*F5</f>
        <v>10</v>
      </c>
      <c r="G9" s="60">
        <f>Met</f>
        <v>1500</v>
      </c>
      <c r="H9" s="61">
        <f t="shared" si="0"/>
        <v>15000</v>
      </c>
      <c r="J9" s="75">
        <f t="shared" si="2"/>
        <v>10</v>
      </c>
      <c r="K9" s="67">
        <f t="shared" si="3"/>
        <v>15000</v>
      </c>
    </row>
    <row r="10" spans="1:17" ht="16">
      <c r="B10" s="62"/>
      <c r="C10" s="62"/>
      <c r="D10" s="63"/>
      <c r="E10" s="64" t="s">
        <v>495</v>
      </c>
      <c r="F10" s="120">
        <f>$F$4</f>
        <v>1</v>
      </c>
      <c r="G10" s="65">
        <f>SUM(H5:H9)</f>
        <v>71734.244000000006</v>
      </c>
      <c r="H10" s="65">
        <f t="shared" ref="H10" si="4">ROUND(F10*G10,3)</f>
        <v>71734.244000000006</v>
      </c>
      <c r="K10" s="76">
        <f>SUM(K5:K9)</f>
        <v>71734.244000000006</v>
      </c>
    </row>
    <row r="12" spans="1:17">
      <c r="C12" s="66"/>
    </row>
  </sheetData>
  <dataValidations count="1">
    <dataValidation type="list" allowBlank="1" showErrorMessage="1" sqref="C10 C4" xr:uid="{2FD461C9-6E41-4642-8322-0CF69DC5DF1C}">
      <formula1>"Capítulo,Partida,Mano de obra,Maquinaria,Material,Otros,Tarea"</formula1>
    </dataValidation>
  </dataValidations>
  <hyperlinks>
    <hyperlink ref="B1" location="'01.- Presupuesto'!A1" display="02.- Presupuesto'!A1" xr:uid="{34C3D1BC-496E-2A44-A1A3-27330F950283}"/>
  </hyperlinks>
  <pageMargins left="0.7" right="0.7" top="0.75" bottom="0.75" header="0.3" footer="0.3"/>
  <pageSetup orientation="portrait" horizontalDpi="0" verticalDpi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5BE1-28EC-45EE-B3CA-A9387C5F7C99}">
  <sheetPr>
    <tabColor theme="9" tint="0.59999389629810485"/>
  </sheetPr>
  <dimension ref="A1:Q11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292</v>
      </c>
      <c r="C4" s="53" t="s">
        <v>36</v>
      </c>
      <c r="D4" s="148" t="str">
        <f>'01.- Presupuesto'!F157</f>
        <v>gl</v>
      </c>
      <c r="E4" s="149" t="str">
        <f>'01.- Presupuesto'!C157</f>
        <v>Suministro e instalación riel para carro portante, Prodalam o similar técnico</v>
      </c>
      <c r="F4" s="73">
        <f>'01.- Presupuesto'!G157</f>
        <v>1</v>
      </c>
      <c r="G4" s="55">
        <f>G9</f>
        <v>10231.434000000001</v>
      </c>
      <c r="H4" s="55">
        <f>H9</f>
        <v>10231.433999999999</v>
      </c>
      <c r="J4" s="74" t="s">
        <v>30</v>
      </c>
      <c r="K4" s="74" t="s">
        <v>37</v>
      </c>
      <c r="M4" s="70">
        <f>SUMIF(C5:C21,"Material",K5:K21)</f>
        <v>7606.4340000000002</v>
      </c>
      <c r="N4" s="70">
        <f>SUMIF(C5:C21,"Mano de Obra",K5:K21)</f>
        <v>0</v>
      </c>
      <c r="O4" s="70">
        <f>SUMIF(C5:C21,"Subcontrato",K5:K21)</f>
        <v>2625</v>
      </c>
      <c r="P4" s="70">
        <f>SUMIF(C5:C21,"Ser&amp;Arr",K5:K21)</f>
        <v>0</v>
      </c>
      <c r="Q4" s="71">
        <f>SUM(M4:P4)</f>
        <v>10231.434000000001</v>
      </c>
    </row>
    <row r="5" spans="1:17" ht="16">
      <c r="B5" s="56"/>
      <c r="C5" s="56" t="s">
        <v>38</v>
      </c>
      <c r="D5" s="57" t="s">
        <v>39</v>
      </c>
      <c r="E5" s="58" t="s">
        <v>493</v>
      </c>
      <c r="F5" s="59">
        <f>1.05*(1/6)</f>
        <v>0.17499999999999999</v>
      </c>
      <c r="G5" s="60">
        <f>49790/1.19</f>
        <v>41840.336134453784</v>
      </c>
      <c r="H5" s="61">
        <f t="shared" ref="H5:H8" si="0">ROUND(F5*G5,3)</f>
        <v>7322.0590000000002</v>
      </c>
      <c r="J5" s="75">
        <f>F5*$F$4</f>
        <v>0.17499999999999999</v>
      </c>
      <c r="K5" s="67">
        <f>H5*$F$4</f>
        <v>7322.0590000000002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f>F8*0.03</f>
        <v>5.2499999999999998E-2</v>
      </c>
      <c r="G6" s="60">
        <v>2000</v>
      </c>
      <c r="H6" s="61">
        <f t="shared" si="0"/>
        <v>105</v>
      </c>
      <c r="J6" s="75">
        <f t="shared" ref="J6:J8" si="1">F6*$F$4</f>
        <v>5.2499999999999998E-2</v>
      </c>
      <c r="K6" s="67">
        <f t="shared" ref="K6:K8" si="2">H6*$F$4</f>
        <v>105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f>F8*0.025</f>
        <v>4.3750000000000004E-2</v>
      </c>
      <c r="G7" s="60">
        <v>4100</v>
      </c>
      <c r="H7" s="61">
        <f t="shared" si="0"/>
        <v>179.375</v>
      </c>
      <c r="J7" s="75">
        <f t="shared" si="1"/>
        <v>4.3750000000000004E-2</v>
      </c>
      <c r="K7" s="67">
        <f t="shared" si="2"/>
        <v>179.375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f>10*F5</f>
        <v>1.75</v>
      </c>
      <c r="G8" s="60">
        <f>Met</f>
        <v>1500</v>
      </c>
      <c r="H8" s="61">
        <f t="shared" si="0"/>
        <v>2625</v>
      </c>
      <c r="J8" s="75">
        <f t="shared" si="1"/>
        <v>1.75</v>
      </c>
      <c r="K8" s="67">
        <f t="shared" si="2"/>
        <v>2625</v>
      </c>
    </row>
    <row r="9" spans="1:17" ht="16">
      <c r="B9" s="62"/>
      <c r="C9" s="62"/>
      <c r="D9" s="63"/>
      <c r="E9" s="64" t="s">
        <v>496</v>
      </c>
      <c r="F9" s="120">
        <f>$F$4</f>
        <v>1</v>
      </c>
      <c r="G9" s="65">
        <f>SUM(H5:H8)</f>
        <v>10231.434000000001</v>
      </c>
      <c r="H9" s="65">
        <f t="shared" ref="H9" si="3">ROUND(F9*G9,3)</f>
        <v>10231.433999999999</v>
      </c>
      <c r="K9" s="76">
        <f>SUM(K5:K8)</f>
        <v>10231.434000000001</v>
      </c>
    </row>
    <row r="11" spans="1:17">
      <c r="C11" s="66"/>
    </row>
  </sheetData>
  <dataValidations count="1">
    <dataValidation type="list" allowBlank="1" showErrorMessage="1" sqref="C9 C4" xr:uid="{D9872CE0-BFED-4003-B675-66658522C85E}">
      <formula1>"Capítulo,Partida,Mano de obra,Maquinaria,Material,Otros,Tarea"</formula1>
    </dataValidation>
  </dataValidations>
  <hyperlinks>
    <hyperlink ref="B1" location="'01.- Presupuesto'!A1" display="02.- Presupuesto'!A1" xr:uid="{A932B11A-3850-884D-B416-4D4C4995B516}"/>
  </hyperlinks>
  <pageMargins left="0.7" right="0.7" top="0.75" bottom="0.75" header="0.3" footer="0.3"/>
  <pageSetup orientation="portrait" horizontalDpi="0" verticalDpi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288D-C286-4CD6-A41A-0FCC38CBABAA}">
  <sheetPr>
    <tabColor theme="9" tint="0.59999389629810485"/>
  </sheetPr>
  <dimension ref="A1:Q10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293</v>
      </c>
      <c r="C4" s="53" t="s">
        <v>36</v>
      </c>
      <c r="D4" s="148" t="str">
        <f>'01.- Presupuesto'!F158</f>
        <v>un</v>
      </c>
      <c r="E4" s="149" t="str">
        <f>'01.- Presupuesto'!C158</f>
        <v>Candados de seguridad 730-38mm ODIS</v>
      </c>
      <c r="F4" s="73">
        <f>'01.- Presupuesto'!G158</f>
        <v>2</v>
      </c>
      <c r="G4" s="55">
        <f>G8</f>
        <v>21717.325000000001</v>
      </c>
      <c r="H4" s="55">
        <f>H8</f>
        <v>43434.65</v>
      </c>
      <c r="J4" s="74" t="s">
        <v>30</v>
      </c>
      <c r="K4" s="74" t="s">
        <v>37</v>
      </c>
      <c r="M4" s="70">
        <f>SUMIF(C5:C20,"Material",K5:K20)</f>
        <v>36957.983999999997</v>
      </c>
      <c r="N4" s="70">
        <f>SUMIF(C5:C20,"Mano de Obra",K5:K20)</f>
        <v>5397.2219999999998</v>
      </c>
      <c r="O4" s="70">
        <f>SUMIF(C5:C20,"Subcontrato",K5:K20)</f>
        <v>0</v>
      </c>
      <c r="P4" s="70">
        <f>SUMIF(C5:C20,"Ser&amp;Arr",K5:K20)</f>
        <v>1079.444</v>
      </c>
      <c r="Q4" s="71">
        <f>SUM(M4:P4)</f>
        <v>43434.65</v>
      </c>
    </row>
    <row r="5" spans="1:17" ht="16">
      <c r="B5" s="56"/>
      <c r="C5" s="56" t="s">
        <v>38</v>
      </c>
      <c r="D5" s="57" t="s">
        <v>39</v>
      </c>
      <c r="E5" s="58" t="s">
        <v>493</v>
      </c>
      <c r="F5" s="59">
        <v>1</v>
      </c>
      <c r="G5" s="60">
        <f>21990/1.19</f>
        <v>18478.991596638658</v>
      </c>
      <c r="H5" s="61">
        <f t="shared" ref="H5" si="0">ROUND(F5*G5,3)</f>
        <v>18478.991999999998</v>
      </c>
      <c r="J5" s="75">
        <f>F5*$F$4</f>
        <v>2</v>
      </c>
      <c r="K5" s="67">
        <f>H5*$F$4</f>
        <v>36957.983999999997</v>
      </c>
    </row>
    <row r="6" spans="1:17" ht="16">
      <c r="B6" s="56"/>
      <c r="C6" s="56" t="s">
        <v>40</v>
      </c>
      <c r="D6" s="57" t="s">
        <v>41</v>
      </c>
      <c r="E6" s="58" t="s">
        <v>68</v>
      </c>
      <c r="F6" s="59">
        <v>0.5</v>
      </c>
      <c r="G6" s="60">
        <f>Jornal</f>
        <v>5397.2222222222226</v>
      </c>
      <c r="H6" s="61">
        <f t="shared" ref="H6:H8" si="1">ROUND(F6*G6,3)</f>
        <v>2698.6109999999999</v>
      </c>
      <c r="J6" s="75">
        <f t="shared" ref="J6" si="2">F6*$F$4</f>
        <v>1</v>
      </c>
      <c r="K6" s="67">
        <f t="shared" ref="K6" si="3">H6*$F$4</f>
        <v>5397.2219999999998</v>
      </c>
    </row>
    <row r="7" spans="1:17" ht="16">
      <c r="B7" s="56"/>
      <c r="C7" s="56" t="s">
        <v>54</v>
      </c>
      <c r="D7" s="57" t="s">
        <v>42</v>
      </c>
      <c r="E7" s="58" t="s">
        <v>55</v>
      </c>
      <c r="F7" s="59">
        <v>0.2</v>
      </c>
      <c r="G7" s="60">
        <f>SUM(H6:H6)</f>
        <v>2698.6109999999999</v>
      </c>
      <c r="H7" s="61">
        <f>ROUND(F7*G7,3)</f>
        <v>539.72199999999998</v>
      </c>
      <c r="J7" s="75">
        <f>F7*$F$4</f>
        <v>0.4</v>
      </c>
      <c r="K7" s="67">
        <f>H7*$F$4</f>
        <v>1079.444</v>
      </c>
    </row>
    <row r="8" spans="1:17" ht="16">
      <c r="B8" s="62"/>
      <c r="C8" s="62"/>
      <c r="D8" s="63"/>
      <c r="E8" s="64" t="s">
        <v>497</v>
      </c>
      <c r="F8" s="120">
        <f>$F$4</f>
        <v>2</v>
      </c>
      <c r="G8" s="65">
        <f>SUM(H5:H7)</f>
        <v>21717.325000000001</v>
      </c>
      <c r="H8" s="65">
        <f t="shared" si="1"/>
        <v>43434.65</v>
      </c>
      <c r="K8" s="76">
        <f>SUM(K5:K7)</f>
        <v>43434.65</v>
      </c>
    </row>
    <row r="10" spans="1:17">
      <c r="C10" s="66"/>
    </row>
  </sheetData>
  <dataValidations count="1">
    <dataValidation type="list" allowBlank="1" showErrorMessage="1" sqref="C8 C4" xr:uid="{6CB43533-9F9D-4051-91B3-61B1E76F5C55}">
      <formula1>"Capítulo,Partida,Mano de obra,Maquinaria,Material,Otros,Tarea"</formula1>
    </dataValidation>
  </dataValidations>
  <hyperlinks>
    <hyperlink ref="B1" location="'01.- Presupuesto'!A1" display="02.- Presupuesto'!A1" xr:uid="{D30269D2-F449-B24A-8953-7AA78604ACF2}"/>
  </hyperlinks>
  <pageMargins left="0.7" right="0.7" top="0.75" bottom="0.75" header="0.3" footer="0.3"/>
  <pageSetup orientation="portrait" horizontalDpi="0" verticalDpi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F7FF-D9D6-4806-94D6-C5FAD555C559}">
  <sheetPr>
    <tabColor theme="9" tint="0.59999389629810485"/>
  </sheetPr>
  <dimension ref="A1:Q10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294</v>
      </c>
      <c r="C4" s="53" t="s">
        <v>36</v>
      </c>
      <c r="D4" s="148" t="str">
        <f>'01.- Presupuesto'!F159</f>
        <v>un</v>
      </c>
      <c r="E4" s="149" t="str">
        <f>'01.- Presupuesto'!C159</f>
        <v>Suministro e instalación picaportes</v>
      </c>
      <c r="F4" s="73">
        <f>'01.- Presupuesto'!G159</f>
        <v>2</v>
      </c>
      <c r="G4" s="55">
        <f>G8</f>
        <v>31381.190000000002</v>
      </c>
      <c r="H4" s="55">
        <f>H8</f>
        <v>62762.38</v>
      </c>
      <c r="J4" s="74" t="s">
        <v>30</v>
      </c>
      <c r="K4" s="74" t="s">
        <v>37</v>
      </c>
      <c r="M4" s="70">
        <f>SUMIF(C5:C20,"Material",K5:K20)</f>
        <v>56285.714</v>
      </c>
      <c r="N4" s="70">
        <f>SUMIF(C5:C20,"Mano de Obra",K5:K20)</f>
        <v>5397.2219999999998</v>
      </c>
      <c r="O4" s="70">
        <f>SUMIF(C5:C20,"Subcontrato",K5:K20)</f>
        <v>0</v>
      </c>
      <c r="P4" s="70">
        <f>SUMIF(C5:C20,"Ser&amp;Arr",K5:K20)</f>
        <v>1079.444</v>
      </c>
      <c r="Q4" s="71">
        <f>SUM(M4:P4)</f>
        <v>62762.380000000005</v>
      </c>
    </row>
    <row r="5" spans="1:17" ht="16">
      <c r="B5" s="56"/>
      <c r="C5" s="56" t="s">
        <v>38</v>
      </c>
      <c r="D5" s="57" t="s">
        <v>39</v>
      </c>
      <c r="E5" s="58" t="s">
        <v>498</v>
      </c>
      <c r="F5" s="59">
        <v>1</v>
      </c>
      <c r="G5" s="60">
        <f>33490/1.19</f>
        <v>28142.857142857145</v>
      </c>
      <c r="H5" s="61">
        <f t="shared" ref="H5" si="0">ROUND(F5*G5,3)</f>
        <v>28142.857</v>
      </c>
      <c r="J5" s="75">
        <f>F5*$F$4</f>
        <v>2</v>
      </c>
      <c r="K5" s="67">
        <f>H5*$F$4</f>
        <v>56285.714</v>
      </c>
    </row>
    <row r="6" spans="1:17" ht="16">
      <c r="B6" s="56"/>
      <c r="C6" s="56" t="s">
        <v>40</v>
      </c>
      <c r="D6" s="57" t="s">
        <v>41</v>
      </c>
      <c r="E6" s="58" t="s">
        <v>68</v>
      </c>
      <c r="F6" s="59">
        <v>0.5</v>
      </c>
      <c r="G6" s="60">
        <f>Jornal</f>
        <v>5397.2222222222226</v>
      </c>
      <c r="H6" s="61">
        <f t="shared" ref="H6:H8" si="1">ROUND(F6*G6,3)</f>
        <v>2698.6109999999999</v>
      </c>
      <c r="J6" s="75">
        <f t="shared" ref="J6" si="2">F6*$F$4</f>
        <v>1</v>
      </c>
      <c r="K6" s="67">
        <f t="shared" ref="K6" si="3">H6*$F$4</f>
        <v>5397.2219999999998</v>
      </c>
    </row>
    <row r="7" spans="1:17" ht="16">
      <c r="B7" s="56"/>
      <c r="C7" s="56" t="s">
        <v>54</v>
      </c>
      <c r="D7" s="57" t="s">
        <v>42</v>
      </c>
      <c r="E7" s="58" t="s">
        <v>55</v>
      </c>
      <c r="F7" s="59">
        <v>0.2</v>
      </c>
      <c r="G7" s="60">
        <f>SUM(H6:H6)</f>
        <v>2698.6109999999999</v>
      </c>
      <c r="H7" s="61">
        <f>ROUND(F7*G7,3)</f>
        <v>539.72199999999998</v>
      </c>
      <c r="J7" s="75">
        <f>F7*$F$4</f>
        <v>0.4</v>
      </c>
      <c r="K7" s="67">
        <f>H7*$F$4</f>
        <v>1079.444</v>
      </c>
    </row>
    <row r="8" spans="1:17" ht="16">
      <c r="B8" s="62"/>
      <c r="C8" s="62"/>
      <c r="D8" s="63"/>
      <c r="E8" s="64" t="s">
        <v>499</v>
      </c>
      <c r="F8" s="120">
        <f>$F$4</f>
        <v>2</v>
      </c>
      <c r="G8" s="65">
        <f>SUM(H5:H7)</f>
        <v>31381.190000000002</v>
      </c>
      <c r="H8" s="65">
        <f t="shared" si="1"/>
        <v>62762.38</v>
      </c>
      <c r="K8" s="76">
        <f>SUM(K5:K7)</f>
        <v>62762.380000000005</v>
      </c>
    </row>
    <row r="10" spans="1:17">
      <c r="C10" s="66"/>
    </row>
  </sheetData>
  <dataValidations count="1">
    <dataValidation type="list" allowBlank="1" showErrorMessage="1" sqref="C8 C4" xr:uid="{CB704574-458D-4B04-A79B-33C4255977E4}">
      <formula1>"Capítulo,Partida,Mano de obra,Maquinaria,Material,Otros,Tarea"</formula1>
    </dataValidation>
  </dataValidations>
  <hyperlinks>
    <hyperlink ref="B1" location="'01.- Presupuesto'!A1" display="02.- Presupuesto'!A1" xr:uid="{604CD16E-E7B8-D34B-A861-B20E7577B9E5}"/>
  </hyperlinks>
  <pageMargins left="0.7" right="0.7" top="0.75" bottom="0.75" header="0.3" footer="0.3"/>
  <pageSetup orientation="portrait" horizontalDpi="0" verticalDpi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8100-4016-4487-9E74-3115B9BEEB4A}">
  <sheetPr>
    <tabColor theme="9" tint="0.59999389629810485"/>
  </sheetPr>
  <dimension ref="A1:Q11"/>
  <sheetViews>
    <sheetView showGridLines="0" zoomScaleNormal="100" workbookViewId="0">
      <selection activeCell="E35" sqref="E35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10.1640625" bestFit="1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295</v>
      </c>
      <c r="C4" s="53" t="s">
        <v>36</v>
      </c>
      <c r="D4" s="148" t="str">
        <f>'01.- Presupuesto'!F160</f>
        <v>m</v>
      </c>
      <c r="E4" s="149" t="str">
        <f>'01.- Presupuesto'!C160</f>
        <v>Suministro e instalación Perfil 125x75x4</v>
      </c>
      <c r="F4" s="73">
        <f>'01.- Presupuesto'!G160</f>
        <v>82.2</v>
      </c>
      <c r="G4" s="55">
        <f>G9</f>
        <v>28334.787</v>
      </c>
      <c r="H4" s="55">
        <f>H9</f>
        <v>2329119.4909999999</v>
      </c>
      <c r="J4" s="74" t="s">
        <v>30</v>
      </c>
      <c r="K4" s="74" t="s">
        <v>37</v>
      </c>
      <c r="M4" s="70">
        <f>SUMIF(C5:C21,"Material",K5:K21)</f>
        <v>1008576.4914000001</v>
      </c>
      <c r="N4" s="70">
        <f>SUMIF(C5:C21,"Mano de Obra",K5:K21)</f>
        <v>0</v>
      </c>
      <c r="O4" s="70">
        <f>SUMIF(C5:C21,"Subcontrato",K5:K21)</f>
        <v>1320543</v>
      </c>
      <c r="P4" s="70">
        <f>SUMIF(C5:C21,"Ser&amp;Arr",K5:K21)</f>
        <v>0</v>
      </c>
      <c r="Q4" s="71">
        <f>SUM(M4:P4)</f>
        <v>2329119.4914000002</v>
      </c>
    </row>
    <row r="5" spans="1:17" ht="16">
      <c r="B5" s="56"/>
      <c r="C5" s="56" t="s">
        <v>38</v>
      </c>
      <c r="D5" s="57" t="s">
        <v>39</v>
      </c>
      <c r="E5" s="58" t="s">
        <v>500</v>
      </c>
      <c r="F5" s="59">
        <f>1.05*(1/6)</f>
        <v>0.17499999999999999</v>
      </c>
      <c r="G5" s="60">
        <f>71600/1.19</f>
        <v>60168.067226890758</v>
      </c>
      <c r="H5" s="61">
        <f t="shared" ref="H5:H8" si="0">ROUND(F5*G5,3)</f>
        <v>10529.412</v>
      </c>
      <c r="J5" s="75">
        <f>F5*$F$4</f>
        <v>14.385</v>
      </c>
      <c r="K5" s="67">
        <f>H5*$F$4</f>
        <v>865517.6664000001</v>
      </c>
    </row>
    <row r="6" spans="1:17" ht="16">
      <c r="B6" s="56"/>
      <c r="C6" s="56" t="s">
        <v>38</v>
      </c>
      <c r="D6" s="57" t="s">
        <v>396</v>
      </c>
      <c r="E6" s="58" t="s">
        <v>459</v>
      </c>
      <c r="F6" s="59">
        <f>F8*0.03</f>
        <v>0.32129999999999997</v>
      </c>
      <c r="G6" s="60">
        <v>2000</v>
      </c>
      <c r="H6" s="61">
        <f t="shared" si="0"/>
        <v>642.6</v>
      </c>
      <c r="J6" s="75">
        <f t="shared" ref="J6:J8" si="1">F6*$F$4</f>
        <v>26.41086</v>
      </c>
      <c r="K6" s="67">
        <f t="shared" ref="K6:K8" si="2">H6*$F$4</f>
        <v>52821.72</v>
      </c>
    </row>
    <row r="7" spans="1:17" ht="16">
      <c r="B7" s="56"/>
      <c r="C7" s="56" t="s">
        <v>38</v>
      </c>
      <c r="D7" s="57" t="s">
        <v>396</v>
      </c>
      <c r="E7" s="58" t="s">
        <v>460</v>
      </c>
      <c r="F7" s="59">
        <f>F8*0.025</f>
        <v>0.26774999999999999</v>
      </c>
      <c r="G7" s="60">
        <v>4100</v>
      </c>
      <c r="H7" s="61">
        <f t="shared" si="0"/>
        <v>1097.7750000000001</v>
      </c>
      <c r="J7" s="75">
        <f t="shared" si="1"/>
        <v>22.009049999999998</v>
      </c>
      <c r="K7" s="67">
        <f t="shared" si="2"/>
        <v>90237.10500000001</v>
      </c>
    </row>
    <row r="8" spans="1:17" ht="16">
      <c r="B8" s="56"/>
      <c r="C8" s="56" t="s">
        <v>94</v>
      </c>
      <c r="D8" s="57" t="s">
        <v>396</v>
      </c>
      <c r="E8" s="58" t="s">
        <v>481</v>
      </c>
      <c r="F8" s="59">
        <f>61.2*F5</f>
        <v>10.709999999999999</v>
      </c>
      <c r="G8" s="60">
        <f>Met</f>
        <v>1500</v>
      </c>
      <c r="H8" s="61">
        <f t="shared" si="0"/>
        <v>16065</v>
      </c>
      <c r="J8" s="75">
        <f t="shared" si="1"/>
        <v>880.36199999999997</v>
      </c>
      <c r="K8" s="67">
        <f t="shared" si="2"/>
        <v>1320543</v>
      </c>
    </row>
    <row r="9" spans="1:17" ht="16">
      <c r="B9" s="62"/>
      <c r="C9" s="62"/>
      <c r="D9" s="63"/>
      <c r="E9" s="64" t="s">
        <v>501</v>
      </c>
      <c r="F9" s="120">
        <f>$F$4</f>
        <v>82.2</v>
      </c>
      <c r="G9" s="65">
        <f>SUM(H5:H8)</f>
        <v>28334.787</v>
      </c>
      <c r="H9" s="65">
        <f t="shared" ref="H9" si="3">ROUND(F9*G9,3)</f>
        <v>2329119.4909999999</v>
      </c>
      <c r="K9" s="76">
        <f>SUM(K5:K8)</f>
        <v>2329119.4914000002</v>
      </c>
    </row>
    <row r="11" spans="1:17">
      <c r="C11" s="66"/>
    </row>
  </sheetData>
  <dataValidations count="1">
    <dataValidation type="list" allowBlank="1" showErrorMessage="1" sqref="C9 C4" xr:uid="{F4F2AFDD-ABA2-4BAC-815E-06ED4C5C497C}">
      <formula1>"Capítulo,Partida,Mano de obra,Maquinaria,Material,Otros,Tarea"</formula1>
    </dataValidation>
  </dataValidations>
  <hyperlinks>
    <hyperlink ref="B1" location="'01.- Presupuesto'!A1" display="02.- Presupuesto'!A1" xr:uid="{E1F01511-C535-014E-B5F2-AD46F9FEA8F9}"/>
  </hyperlinks>
  <pageMargins left="0.7" right="0.7" top="0.75" bottom="0.75" header="0.3" footer="0.3"/>
  <pageSetup orientation="portrait" horizontalDpi="0" verticalDpi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CA47-68A3-4B82-A314-CFFB4A7A6871}">
  <sheetPr>
    <tabColor theme="9" tint="0.59999389629810485"/>
  </sheetPr>
  <dimension ref="A1:Q8"/>
  <sheetViews>
    <sheetView showGridLines="0" zoomScaleNormal="100" workbookViewId="0">
      <selection activeCell="K38" sqref="K38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303</v>
      </c>
      <c r="C4" s="53" t="s">
        <v>36</v>
      </c>
      <c r="D4" s="148" t="str">
        <f>'01.- Presupuesto'!F162</f>
        <v>m2</v>
      </c>
      <c r="E4" s="149" t="str">
        <f>'01.- Presupuesto'!C162</f>
        <v>Suministro e instalación PV4, color RAL 7024, e=0,4mm techumbre</v>
      </c>
      <c r="F4" s="73">
        <f>'01.- Presupuesto'!G162</f>
        <v>716</v>
      </c>
      <c r="G4" s="55">
        <f>G6</f>
        <v>111888</v>
      </c>
      <c r="H4" s="55">
        <f>H6</f>
        <v>80111808</v>
      </c>
      <c r="J4" s="74" t="s">
        <v>30</v>
      </c>
      <c r="K4" s="74" t="s">
        <v>37</v>
      </c>
      <c r="M4" s="70">
        <f>SUMIF(C5:C18,"Material",K5:K18)</f>
        <v>0</v>
      </c>
      <c r="N4" s="70">
        <f>SUMIF(C5:C18,"Mano de Obra",K5:K18)</f>
        <v>0</v>
      </c>
      <c r="O4" s="70">
        <f>SUMIF(C5:C18,"Subcontrato",K5:K18)</f>
        <v>80111808</v>
      </c>
      <c r="P4" s="70">
        <f>SUMIF(C5:C18,"Ser&amp;Arr",K5:K18)</f>
        <v>0</v>
      </c>
      <c r="Q4" s="71">
        <f>SUM(M4:P4)</f>
        <v>80111808</v>
      </c>
    </row>
    <row r="5" spans="1:17" ht="16">
      <c r="B5" s="56"/>
      <c r="C5" s="56" t="s">
        <v>94</v>
      </c>
      <c r="D5" s="57" t="s">
        <v>18</v>
      </c>
      <c r="E5" s="58" t="s">
        <v>547</v>
      </c>
      <c r="F5" s="59">
        <v>1</v>
      </c>
      <c r="G5" s="60">
        <v>111888</v>
      </c>
      <c r="H5" s="61">
        <f t="shared" ref="H5:H6" si="0">ROUND(F5*G5,3)</f>
        <v>111888</v>
      </c>
      <c r="J5" s="75">
        <f>F5*$F$4</f>
        <v>716</v>
      </c>
      <c r="K5" s="67">
        <f>H5*$F$4</f>
        <v>80111808</v>
      </c>
    </row>
    <row r="6" spans="1:17" ht="16">
      <c r="B6" s="62"/>
      <c r="C6" s="62"/>
      <c r="D6" s="63"/>
      <c r="E6" s="64" t="s">
        <v>548</v>
      </c>
      <c r="F6" s="120">
        <f>$F$4</f>
        <v>716</v>
      </c>
      <c r="G6" s="65">
        <f>SUM(H5:H5)</f>
        <v>111888</v>
      </c>
      <c r="H6" s="65">
        <f t="shared" si="0"/>
        <v>80111808</v>
      </c>
      <c r="K6" s="76">
        <f>SUM(K5:K5)</f>
        <v>80111808</v>
      </c>
    </row>
    <row r="8" spans="1:17">
      <c r="C8" s="66"/>
    </row>
  </sheetData>
  <dataValidations count="1">
    <dataValidation type="list" allowBlank="1" showErrorMessage="1" sqref="C6 C4" xr:uid="{707FA96B-8917-4586-869B-A2D5D5B68570}">
      <formula1>"Capítulo,Partida,Mano de obra,Maquinaria,Material,Otros,Tarea"</formula1>
    </dataValidation>
  </dataValidations>
  <hyperlinks>
    <hyperlink ref="B1" location="'01.- Presupuesto'!A1" display="02.- Presupuesto'!A1" xr:uid="{324E893D-C704-904F-8F24-E4C38A994A89}"/>
  </hyperlinks>
  <pageMargins left="0.7" right="0.7" top="0.75" bottom="0.75" header="0.3" footer="0.3"/>
  <pageSetup orientation="portrait" horizontalDpi="0" verticalDpi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AAC7-3100-41D7-9CD2-3ABB31DD8D6A}">
  <sheetPr>
    <tabColor theme="9" tint="0.59999389629810485"/>
  </sheetPr>
  <dimension ref="A1:Q8"/>
  <sheetViews>
    <sheetView showGridLines="0" topLeftCell="E1" zoomScaleNormal="100" workbookViewId="0">
      <selection activeCell="K38" sqref="K38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304</v>
      </c>
      <c r="C4" s="53" t="s">
        <v>36</v>
      </c>
      <c r="D4" s="148" t="str">
        <f>'01.- Presupuesto'!F163</f>
        <v>m2</v>
      </c>
      <c r="E4" s="149" t="str">
        <f>'01.- Presupuesto'!C163</f>
        <v>Suministro e instalación PV4, color RAL 7042, e=0,4mm laterales y frontones</v>
      </c>
      <c r="F4" s="73">
        <f>'01.- Presupuesto'!G163</f>
        <v>45</v>
      </c>
      <c r="G4" s="55">
        <f>G6</f>
        <v>78015</v>
      </c>
      <c r="H4" s="55">
        <f>H6</f>
        <v>3510675</v>
      </c>
      <c r="J4" s="74" t="s">
        <v>30</v>
      </c>
      <c r="K4" s="74" t="s">
        <v>37</v>
      </c>
      <c r="M4" s="70">
        <f>SUMIF(C5:C18,"Material",K5:K18)</f>
        <v>0</v>
      </c>
      <c r="N4" s="70">
        <f>SUMIF(C5:C18,"Mano de Obra",K5:K18)</f>
        <v>0</v>
      </c>
      <c r="O4" s="70">
        <f>SUMIF(C5:C18,"Subcontrato",K5:K18)</f>
        <v>3510675</v>
      </c>
      <c r="P4" s="70">
        <f>SUMIF(C5:C18,"Ser&amp;Arr",K5:K18)</f>
        <v>0</v>
      </c>
      <c r="Q4" s="71">
        <f>SUM(M4:P4)</f>
        <v>3510675</v>
      </c>
    </row>
    <row r="5" spans="1:17" ht="16">
      <c r="B5" s="56"/>
      <c r="C5" s="56" t="s">
        <v>94</v>
      </c>
      <c r="D5" s="57" t="s">
        <v>18</v>
      </c>
      <c r="E5" s="58" t="s">
        <v>547</v>
      </c>
      <c r="F5" s="59">
        <v>1</v>
      </c>
      <c r="G5" s="60">
        <v>78015</v>
      </c>
      <c r="H5" s="61">
        <f t="shared" ref="H5" si="0">ROUND(F5*G5,3)</f>
        <v>78015</v>
      </c>
      <c r="J5" s="75">
        <f>F5*$F$4</f>
        <v>45</v>
      </c>
      <c r="K5" s="67">
        <f>H5*$F$4</f>
        <v>3510675</v>
      </c>
    </row>
    <row r="6" spans="1:17" ht="16">
      <c r="B6" s="62"/>
      <c r="C6" s="62"/>
      <c r="D6" s="63"/>
      <c r="E6" s="64" t="s">
        <v>43</v>
      </c>
      <c r="F6" s="120">
        <f>$F$4</f>
        <v>45</v>
      </c>
      <c r="G6" s="65">
        <f>SUM(H5:H5)</f>
        <v>78015</v>
      </c>
      <c r="H6" s="65">
        <f t="shared" ref="H6" si="1">ROUND(F6*G6,3)</f>
        <v>3510675</v>
      </c>
      <c r="K6" s="76">
        <f>SUM(K5:K5)</f>
        <v>3510675</v>
      </c>
    </row>
    <row r="8" spans="1:17">
      <c r="C8" s="66"/>
    </row>
  </sheetData>
  <dataValidations count="1">
    <dataValidation type="list" allowBlank="1" showErrorMessage="1" sqref="C6 C4" xr:uid="{02E0864E-8457-4ED2-B480-7F6167CACE9B}">
      <formula1>"Capítulo,Partida,Mano de obra,Maquinaria,Material,Otros,Tarea"</formula1>
    </dataValidation>
  </dataValidations>
  <hyperlinks>
    <hyperlink ref="B1" location="'01.- Presupuesto'!A1" display="02.- Presupuesto'!A1" xr:uid="{DAF35041-3E16-EE42-AA3F-7EA0B020D809}"/>
  </hyperlinks>
  <pageMargins left="0.7" right="0.7" top="0.75" bottom="0.75" header="0.3" footer="0.3"/>
  <pageSetup orientation="portrait" horizontalDpi="0" verticalDpi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827E-5B7D-4274-A823-30BA9B9A35B1}">
  <sheetPr>
    <tabColor theme="9" tint="0.59999389629810485"/>
  </sheetPr>
  <dimension ref="A1:Q8"/>
  <sheetViews>
    <sheetView showGridLines="0" zoomScaleNormal="100" workbookViewId="0">
      <selection activeCell="K38" sqref="K38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305</v>
      </c>
      <c r="C4" s="53" t="s">
        <v>36</v>
      </c>
      <c r="D4" s="148" t="str">
        <f>'01.- Presupuesto'!F164</f>
        <v>m</v>
      </c>
      <c r="E4" s="149" t="str">
        <f>'01.- Presupuesto'!C164</f>
        <v>Suministro e instalación curvas para terminación en hombro, COLOR RAL 7024 largo 2,0 m</v>
      </c>
      <c r="F4" s="73">
        <f>'01.- Presupuesto'!G164</f>
        <v>22</v>
      </c>
      <c r="G4" s="55">
        <f>G6</f>
        <v>42313</v>
      </c>
      <c r="H4" s="55">
        <f>H6</f>
        <v>930886</v>
      </c>
      <c r="J4" s="74" t="s">
        <v>30</v>
      </c>
      <c r="K4" s="74" t="s">
        <v>37</v>
      </c>
      <c r="M4" s="70">
        <f>SUMIF(C5:C18,"Material",K5:K18)</f>
        <v>0</v>
      </c>
      <c r="N4" s="70">
        <f>SUMIF(C5:C18,"Mano de Obra",K5:K18)</f>
        <v>0</v>
      </c>
      <c r="O4" s="70">
        <f>SUMIF(C5:C18,"Subcontrato",K5:K18)</f>
        <v>930886</v>
      </c>
      <c r="P4" s="70">
        <f>SUMIF(C5:C18,"Ser&amp;Arr",K5:K18)</f>
        <v>0</v>
      </c>
      <c r="Q4" s="71">
        <f>SUM(M4:P4)</f>
        <v>930886</v>
      </c>
    </row>
    <row r="5" spans="1:17" ht="16">
      <c r="B5" s="56"/>
      <c r="C5" s="56" t="s">
        <v>94</v>
      </c>
      <c r="D5" s="57" t="s">
        <v>65</v>
      </c>
      <c r="E5" s="58" t="s">
        <v>549</v>
      </c>
      <c r="F5" s="59">
        <v>1</v>
      </c>
      <c r="G5" s="60">
        <v>42313</v>
      </c>
      <c r="H5" s="61">
        <f t="shared" ref="H5:H6" si="0">ROUND(F5*G5,3)</f>
        <v>42313</v>
      </c>
      <c r="J5" s="75">
        <f>F5*$F$4</f>
        <v>22</v>
      </c>
      <c r="K5" s="67">
        <f>H5*$F$4</f>
        <v>930886</v>
      </c>
    </row>
    <row r="6" spans="1:17" ht="16">
      <c r="B6" s="62"/>
      <c r="C6" s="62"/>
      <c r="D6" s="63"/>
      <c r="E6" s="64" t="s">
        <v>43</v>
      </c>
      <c r="F6" s="120">
        <f>$F$4</f>
        <v>22</v>
      </c>
      <c r="G6" s="65">
        <f>SUM(H5:H5)</f>
        <v>42313</v>
      </c>
      <c r="H6" s="65">
        <f t="shared" si="0"/>
        <v>930886</v>
      </c>
      <c r="K6" s="76">
        <f>SUM(K5:K5)</f>
        <v>930886</v>
      </c>
    </row>
    <row r="8" spans="1:17">
      <c r="C8" s="66"/>
    </row>
  </sheetData>
  <dataValidations count="1">
    <dataValidation type="list" allowBlank="1" showErrorMessage="1" sqref="C6 C4" xr:uid="{31E0BEA0-24A7-405E-9E46-08416B5BBA8C}">
      <formula1>"Capítulo,Partida,Mano de obra,Maquinaria,Material,Otros,Tarea"</formula1>
    </dataValidation>
  </dataValidations>
  <hyperlinks>
    <hyperlink ref="B1" location="'01.- Presupuesto'!A1" display="02.- Presupuesto'!A1" xr:uid="{425356CA-7AB5-C84C-9850-DACBD520AFA2}"/>
  </hyperlinks>
  <pageMargins left="0.7" right="0.7" top="0.75" bottom="0.75" header="0.3" footer="0.3"/>
  <pageSetup orientation="portrait" horizontalDpi="0" verticalDpi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A1DA-19D4-403C-93AF-EC90D1F18A65}">
  <sheetPr>
    <tabColor theme="9" tint="0.59999389629810485"/>
  </sheetPr>
  <dimension ref="A1:Q8"/>
  <sheetViews>
    <sheetView showGridLines="0" topLeftCell="E1" zoomScaleNormal="100" workbookViewId="0">
      <selection activeCell="K38" sqref="K38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306</v>
      </c>
      <c r="C4" s="53" t="s">
        <v>36</v>
      </c>
      <c r="D4" s="148" t="str">
        <f>'01.- Presupuesto'!F165</f>
        <v>m</v>
      </c>
      <c r="E4" s="149" t="str">
        <f>'01.- Presupuesto'!C165</f>
        <v>Suministro e instalación hojalatería cortagotera (10cm+32cm+30cm) sobre portones</v>
      </c>
      <c r="F4" s="73">
        <f>'01.- Presupuesto'!G165</f>
        <v>64</v>
      </c>
      <c r="G4" s="55">
        <f>G6</f>
        <v>35937</v>
      </c>
      <c r="H4" s="55">
        <f>H6</f>
        <v>2299968</v>
      </c>
      <c r="J4" s="74" t="s">
        <v>30</v>
      </c>
      <c r="K4" s="74" t="s">
        <v>37</v>
      </c>
      <c r="M4" s="70">
        <f>SUMIF(C5:C18,"Material",K5:K18)</f>
        <v>0</v>
      </c>
      <c r="N4" s="70">
        <f>SUMIF(C5:C18,"Mano de Obra",K5:K18)</f>
        <v>0</v>
      </c>
      <c r="O4" s="70">
        <f>SUMIF(C5:C18,"Subcontrato",K5:K18)</f>
        <v>2299968</v>
      </c>
      <c r="P4" s="70">
        <f>SUMIF(C5:C18,"Ser&amp;Arr",K5:K18)</f>
        <v>0</v>
      </c>
      <c r="Q4" s="71">
        <f>SUM(M4:P4)</f>
        <v>2299968</v>
      </c>
    </row>
    <row r="5" spans="1:17" ht="16">
      <c r="B5" s="56"/>
      <c r="C5" s="56" t="s">
        <v>94</v>
      </c>
      <c r="D5" s="57" t="s">
        <v>65</v>
      </c>
      <c r="E5" s="58" t="s">
        <v>549</v>
      </c>
      <c r="F5" s="59">
        <v>1</v>
      </c>
      <c r="G5" s="60">
        <v>35937</v>
      </c>
      <c r="H5" s="61">
        <f t="shared" ref="H5" si="0">ROUND(F5*G5,3)</f>
        <v>35937</v>
      </c>
      <c r="J5" s="75">
        <f>F5*$F$4</f>
        <v>64</v>
      </c>
      <c r="K5" s="67">
        <f>H5*$F$4</f>
        <v>2299968</v>
      </c>
    </row>
    <row r="6" spans="1:17" ht="16">
      <c r="B6" s="62"/>
      <c r="C6" s="62"/>
      <c r="D6" s="63"/>
      <c r="E6" s="64" t="s">
        <v>43</v>
      </c>
      <c r="F6" s="120">
        <f>$F$4</f>
        <v>64</v>
      </c>
      <c r="G6" s="65">
        <f>SUM(H5:H5)</f>
        <v>35937</v>
      </c>
      <c r="H6" s="65">
        <f t="shared" ref="H6" si="1">ROUND(F6*G6,3)</f>
        <v>2299968</v>
      </c>
      <c r="K6" s="76">
        <f>SUM(K5:K5)</f>
        <v>2299968</v>
      </c>
    </row>
    <row r="8" spans="1:17">
      <c r="C8" s="66"/>
    </row>
  </sheetData>
  <dataValidations count="1">
    <dataValidation type="list" allowBlank="1" showErrorMessage="1" sqref="C6 C4" xr:uid="{E7189770-3784-4478-94DE-9ECBBEDD616F}">
      <formula1>"Capítulo,Partida,Mano de obra,Maquinaria,Material,Otros,Tarea"</formula1>
    </dataValidation>
  </dataValidations>
  <hyperlinks>
    <hyperlink ref="B1" location="'01.- Presupuesto'!A1" display="02.- Presupuesto'!A1" xr:uid="{C261FE38-86F5-D74D-AA63-8A72B1682C8F}"/>
  </hyperlinks>
  <pageMargins left="0.7" right="0.7" top="0.75" bottom="0.75" header="0.3" footer="0.3"/>
  <pageSetup orientation="portrait" horizontalDpi="0" verticalDpi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DFD7-06B2-489E-847D-A43B9DFEF27B}">
  <sheetPr>
    <tabColor theme="9" tint="0.59999389629810485"/>
  </sheetPr>
  <dimension ref="A1:Q8"/>
  <sheetViews>
    <sheetView showGridLines="0" topLeftCell="E1" zoomScaleNormal="100" workbookViewId="0">
      <selection activeCell="K38" sqref="K38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307</v>
      </c>
      <c r="C4" s="53" t="s">
        <v>36</v>
      </c>
      <c r="D4" s="148" t="str">
        <f>'01.- Presupuesto'!F166</f>
        <v>m</v>
      </c>
      <c r="E4" s="149" t="str">
        <f>'01.- Presupuesto'!C166</f>
        <v>Suministro e instalación hojalatería, terminación frontal y trasera (angulo 25cm+25cm)</v>
      </c>
      <c r="F4" s="73">
        <f>'01.- Presupuesto'!G166</f>
        <v>60</v>
      </c>
      <c r="G4" s="55">
        <f>G6</f>
        <v>44230</v>
      </c>
      <c r="H4" s="55">
        <f>H6</f>
        <v>2653800</v>
      </c>
      <c r="J4" s="74" t="s">
        <v>30</v>
      </c>
      <c r="K4" s="74" t="s">
        <v>37</v>
      </c>
      <c r="M4" s="70">
        <f>SUMIF(C5:C18,"Material",K5:K18)</f>
        <v>0</v>
      </c>
      <c r="N4" s="70">
        <f>SUMIF(C5:C18,"Mano de Obra",K5:K18)</f>
        <v>0</v>
      </c>
      <c r="O4" s="70">
        <f>SUMIF(C5:C18,"Subcontrato",K5:K18)</f>
        <v>2653800</v>
      </c>
      <c r="P4" s="70">
        <f>SUMIF(C5:C18,"Ser&amp;Arr",K5:K18)</f>
        <v>0</v>
      </c>
      <c r="Q4" s="71">
        <f>SUM(M4:P4)</f>
        <v>2653800</v>
      </c>
    </row>
    <row r="5" spans="1:17" ht="16">
      <c r="B5" s="56"/>
      <c r="C5" s="56" t="s">
        <v>94</v>
      </c>
      <c r="D5" s="57" t="s">
        <v>65</v>
      </c>
      <c r="E5" s="58" t="s">
        <v>549</v>
      </c>
      <c r="F5" s="59">
        <v>1</v>
      </c>
      <c r="G5" s="60">
        <v>44230</v>
      </c>
      <c r="H5" s="61">
        <f t="shared" ref="H5" si="0">ROUND(F5*G5,3)</f>
        <v>44230</v>
      </c>
      <c r="J5" s="75">
        <f>F5*$F$4</f>
        <v>60</v>
      </c>
      <c r="K5" s="67">
        <f>H5*$F$4</f>
        <v>2653800</v>
      </c>
    </row>
    <row r="6" spans="1:17" ht="16">
      <c r="B6" s="62"/>
      <c r="C6" s="62"/>
      <c r="D6" s="63"/>
      <c r="E6" s="64" t="s">
        <v>43</v>
      </c>
      <c r="F6" s="120">
        <f>$F$4</f>
        <v>60</v>
      </c>
      <c r="G6" s="65">
        <f>SUM(H5:H5)</f>
        <v>44230</v>
      </c>
      <c r="H6" s="65">
        <f t="shared" ref="H6" si="1">ROUND(F6*G6,3)</f>
        <v>2653800</v>
      </c>
      <c r="K6" s="76">
        <f>SUM(K5:K5)</f>
        <v>2653800</v>
      </c>
    </row>
    <row r="8" spans="1:17">
      <c r="C8" s="66"/>
    </row>
  </sheetData>
  <dataValidations count="1">
    <dataValidation type="list" allowBlank="1" showErrorMessage="1" sqref="C6 C4" xr:uid="{B18458D6-E1E3-49F5-A511-A0EC24459A78}">
      <formula1>"Capítulo,Partida,Mano de obra,Maquinaria,Material,Otros,Tarea"</formula1>
    </dataValidation>
  </dataValidations>
  <hyperlinks>
    <hyperlink ref="B1" location="'01.- Presupuesto'!A1" display="02.- Presupuesto'!A1" xr:uid="{343A2124-3C8E-C440-AD4D-F8E057C7A1DD}"/>
  </hyperlinks>
  <pageMargins left="0.7" right="0.7" top="0.75" bottom="0.75" header="0.3" footer="0.3"/>
  <pageSetup orientation="portrait" horizontalDpi="0" verticalDpi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447D-4F0B-4430-956E-CF31C8D57696}">
  <sheetPr>
    <tabColor theme="9" tint="0.59999389629810485"/>
  </sheetPr>
  <dimension ref="A1:Q11"/>
  <sheetViews>
    <sheetView showGridLines="0" zoomScaleNormal="100" workbookViewId="0">
      <selection activeCell="K38" sqref="K38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308</v>
      </c>
      <c r="C4" s="53" t="s">
        <v>36</v>
      </c>
      <c r="D4" s="148" t="str">
        <f>'01.- Presupuesto'!F167</f>
        <v>m</v>
      </c>
      <c r="E4" s="149" t="str">
        <f>'01.- Presupuesto'!C167</f>
        <v>Suministro e instalación panel de lana roca 100mm de espesor factor fuego 120 minutos</v>
      </c>
      <c r="F4" s="73">
        <f>'01.- Presupuesto'!G167</f>
        <v>126</v>
      </c>
      <c r="G4" s="55">
        <f>G9</f>
        <v>17663.333000000002</v>
      </c>
      <c r="H4" s="55">
        <f>H9</f>
        <v>2225579.9580000001</v>
      </c>
      <c r="J4" s="74" t="s">
        <v>30</v>
      </c>
      <c r="K4" s="74" t="s">
        <v>37</v>
      </c>
      <c r="M4" s="70">
        <f>SUMIF(C5:C21,"Material",K5:K21)</f>
        <v>1543500</v>
      </c>
      <c r="N4" s="70">
        <f>SUMIF(C5:C21,"Mano de Obra",K5:K21)</f>
        <v>568399.98600000003</v>
      </c>
      <c r="O4" s="70">
        <f>SUMIF(C5:C21,"Subcontrato",K5:K21)</f>
        <v>0</v>
      </c>
      <c r="P4" s="70">
        <f>SUMIF(C5:C21,"Ser&amp;Arr",K5:K21)</f>
        <v>113679.97199999999</v>
      </c>
      <c r="Q4" s="71">
        <f>SUM(M4:P4)</f>
        <v>2225579.9580000001</v>
      </c>
    </row>
    <row r="5" spans="1:17" ht="16">
      <c r="B5" s="56"/>
      <c r="C5" s="56" t="s">
        <v>38</v>
      </c>
      <c r="D5" s="57" t="s">
        <v>39</v>
      </c>
      <c r="E5" s="58" t="s">
        <v>573</v>
      </c>
      <c r="F5" s="59">
        <f>1.05*1/(1*6)</f>
        <v>0.17500000000000002</v>
      </c>
      <c r="G5" s="60">
        <v>70000</v>
      </c>
      <c r="H5" s="61">
        <f t="shared" ref="H5:H9" si="0">ROUND(F5*G5,3)</f>
        <v>12250</v>
      </c>
      <c r="J5" s="75">
        <f>F5*$F$4</f>
        <v>22.05</v>
      </c>
      <c r="K5" s="67">
        <f>H5*$F$4</f>
        <v>1543500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1/4</f>
        <v>0.25</v>
      </c>
      <c r="G6" s="60">
        <f>Maestro</f>
        <v>7250</v>
      </c>
      <c r="H6" s="61">
        <f t="shared" si="0"/>
        <v>1812.5</v>
      </c>
      <c r="J6" s="75">
        <f t="shared" ref="J6:J7" si="1">F6*$F$4</f>
        <v>31.5</v>
      </c>
      <c r="K6" s="67">
        <f t="shared" ref="K6:K7" si="2">H6*$F$4</f>
        <v>228375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2/4</f>
        <v>0.5</v>
      </c>
      <c r="G7" s="60">
        <f>Jornal</f>
        <v>5397.2222222222226</v>
      </c>
      <c r="H7" s="61">
        <f t="shared" si="0"/>
        <v>2698.6109999999999</v>
      </c>
      <c r="J7" s="75">
        <f t="shared" si="1"/>
        <v>63</v>
      </c>
      <c r="K7" s="67">
        <f t="shared" si="2"/>
        <v>340024.98599999998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4511.1109999999999</v>
      </c>
      <c r="H8" s="61">
        <f>ROUND(F8*G8,3)</f>
        <v>902.22199999999998</v>
      </c>
      <c r="J8" s="75">
        <f>F8*$F$4</f>
        <v>25.200000000000003</v>
      </c>
      <c r="K8" s="67">
        <f>H8*$F$4</f>
        <v>113679.97199999999</v>
      </c>
    </row>
    <row r="9" spans="1:17" ht="16">
      <c r="B9" s="62"/>
      <c r="C9" s="62"/>
      <c r="D9" s="63"/>
      <c r="E9" s="64" t="s">
        <v>574</v>
      </c>
      <c r="F9" s="120">
        <f>$F$4</f>
        <v>126</v>
      </c>
      <c r="G9" s="65">
        <f>SUM(H5:H8)</f>
        <v>17663.333000000002</v>
      </c>
      <c r="H9" s="65">
        <f t="shared" si="0"/>
        <v>2225579.9580000001</v>
      </c>
      <c r="K9" s="76">
        <f>SUM(K5:K8)</f>
        <v>2225579.9580000001</v>
      </c>
    </row>
    <row r="11" spans="1:17">
      <c r="C11" s="66"/>
    </row>
  </sheetData>
  <dataValidations count="1">
    <dataValidation type="list" allowBlank="1" showErrorMessage="1" sqref="C9 C4" xr:uid="{274A5205-7688-40EC-9FDE-72DB65016FFF}">
      <formula1>"Capítulo,Partida,Mano de obra,Maquinaria,Material,Otros,Tarea"</formula1>
    </dataValidation>
  </dataValidations>
  <hyperlinks>
    <hyperlink ref="B1" location="'01.- Presupuesto'!A1" display="02.- Presupuesto'!A1" xr:uid="{94093AC8-BD3C-3D45-A3B1-E7BDF9E225D3}"/>
  </hyperlinks>
  <pageMargins left="0.7" right="0.7" top="0.75" bottom="0.75" header="0.3" footer="0.3"/>
  <pageSetup orientation="portrait" horizontalDpi="0" verticalDpi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D5F7-3801-4C3F-AA39-55C99201D285}">
  <sheetPr>
    <tabColor theme="9" tint="0.59999389629810485"/>
  </sheetPr>
  <dimension ref="A1:Q13"/>
  <sheetViews>
    <sheetView showGridLines="0" zoomScaleNormal="100" workbookViewId="0">
      <selection activeCell="K38" sqref="K38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317</v>
      </c>
      <c r="C4" s="53" t="s">
        <v>36</v>
      </c>
      <c r="D4" s="148" t="str">
        <f>'01.- Presupuesto'!F171</f>
        <v>m3</v>
      </c>
      <c r="E4" s="149" t="str">
        <f>'01.- Presupuesto'!C171</f>
        <v>Suministro e instalación Grava de Patio MT, espesor = 10 cm, diametro aproximado 1,0"</v>
      </c>
      <c r="F4" s="73">
        <f>'01.- Presupuesto'!G171</f>
        <v>80</v>
      </c>
      <c r="G4" s="55">
        <f>G11</f>
        <v>37286.583000000006</v>
      </c>
      <c r="H4" s="55">
        <f>H11</f>
        <v>2982926.64</v>
      </c>
      <c r="J4" s="74" t="s">
        <v>30</v>
      </c>
      <c r="K4" s="74" t="s">
        <v>37</v>
      </c>
      <c r="M4" s="70">
        <f>SUMIF(C5:C23,"Material",K5:K23)</f>
        <v>2704000</v>
      </c>
      <c r="N4" s="70">
        <f>SUMIF(C5:C23,"Mano de Obra",K5:K23)</f>
        <v>115355.51999999999</v>
      </c>
      <c r="O4" s="70">
        <f>SUMIF(C5:C23,"Subcontrato",K5:K23)</f>
        <v>0</v>
      </c>
      <c r="P4" s="70">
        <f>SUMIF(C5:C23,"Ser&amp;Arr",K5:K23)</f>
        <v>163571.12</v>
      </c>
      <c r="Q4" s="71">
        <f>SUM(M4:P4)</f>
        <v>2982926.64</v>
      </c>
    </row>
    <row r="5" spans="1:17" ht="16">
      <c r="B5" s="56"/>
      <c r="C5" s="56" t="s">
        <v>38</v>
      </c>
      <c r="D5" s="57" t="s">
        <v>67</v>
      </c>
      <c r="E5" s="58" t="s">
        <v>455</v>
      </c>
      <c r="F5" s="59">
        <v>1.3</v>
      </c>
      <c r="G5" s="60">
        <f>Gravilla</f>
        <v>26000</v>
      </c>
      <c r="H5" s="61">
        <f t="shared" ref="H5:H10" si="0">ROUND(F5*G5,3)</f>
        <v>33800</v>
      </c>
      <c r="J5" s="75">
        <f>F5*$F$4</f>
        <v>104</v>
      </c>
      <c r="K5" s="67">
        <f>H5*$F$4</f>
        <v>2704000</v>
      </c>
    </row>
    <row r="6" spans="1:17" ht="16">
      <c r="B6" s="56"/>
      <c r="C6" s="56" t="s">
        <v>40</v>
      </c>
      <c r="D6" s="57" t="s">
        <v>41</v>
      </c>
      <c r="E6" s="58" t="s">
        <v>90</v>
      </c>
      <c r="F6" s="59">
        <f>1/20</f>
        <v>0.05</v>
      </c>
      <c r="G6" s="60">
        <f>Maestro</f>
        <v>7250</v>
      </c>
      <c r="H6" s="61">
        <f t="shared" si="0"/>
        <v>362.5</v>
      </c>
      <c r="J6" s="75">
        <f t="shared" ref="J6:J10" si="1">F6*$F$4</f>
        <v>4</v>
      </c>
      <c r="K6" s="67">
        <f t="shared" ref="K6:K10" si="2">H6*$F$4</f>
        <v>29000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4*1/20</f>
        <v>0.2</v>
      </c>
      <c r="G7" s="60">
        <f>Jornal</f>
        <v>5397.2222222222226</v>
      </c>
      <c r="H7" s="61">
        <f t="shared" si="0"/>
        <v>1079.444</v>
      </c>
      <c r="J7" s="75">
        <f t="shared" si="1"/>
        <v>16</v>
      </c>
      <c r="K7" s="67">
        <f t="shared" si="2"/>
        <v>86355.51999999999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SUM(H6:H7)</f>
        <v>1441.944</v>
      </c>
      <c r="H8" s="61">
        <f>ROUND(F8*G8,3)</f>
        <v>288.38900000000001</v>
      </c>
      <c r="J8" s="75">
        <f t="shared" si="1"/>
        <v>16</v>
      </c>
      <c r="K8" s="67">
        <f t="shared" si="2"/>
        <v>23071.120000000003</v>
      </c>
    </row>
    <row r="9" spans="1:17" ht="16">
      <c r="B9" s="56"/>
      <c r="C9" s="56" t="s">
        <v>54</v>
      </c>
      <c r="D9" s="57" t="s">
        <v>348</v>
      </c>
      <c r="E9" s="58" t="s">
        <v>350</v>
      </c>
      <c r="F9" s="59">
        <f>1/20</f>
        <v>0.05</v>
      </c>
      <c r="G9" s="60">
        <f>Retroexcavadora</f>
        <v>32000</v>
      </c>
      <c r="H9" s="61">
        <f t="shared" si="0"/>
        <v>1600</v>
      </c>
      <c r="J9" s="75">
        <f t="shared" si="1"/>
        <v>4</v>
      </c>
      <c r="K9" s="67">
        <f t="shared" si="2"/>
        <v>128000</v>
      </c>
    </row>
    <row r="10" spans="1:17" ht="16">
      <c r="B10" s="56"/>
      <c r="C10" s="56" t="s">
        <v>54</v>
      </c>
      <c r="D10" s="57" t="s">
        <v>71</v>
      </c>
      <c r="E10" s="58" t="s">
        <v>385</v>
      </c>
      <c r="F10" s="59">
        <f>1/20/8</f>
        <v>6.2500000000000003E-3</v>
      </c>
      <c r="G10" s="60">
        <v>25000</v>
      </c>
      <c r="H10" s="61">
        <f t="shared" si="0"/>
        <v>156.25</v>
      </c>
      <c r="J10" s="75">
        <f t="shared" si="1"/>
        <v>0.5</v>
      </c>
      <c r="K10" s="67">
        <f t="shared" si="2"/>
        <v>12500</v>
      </c>
    </row>
    <row r="11" spans="1:17" ht="16">
      <c r="B11" s="62"/>
      <c r="C11" s="62"/>
      <c r="D11" s="63"/>
      <c r="E11" s="64" t="s">
        <v>519</v>
      </c>
      <c r="F11" s="120">
        <f>$F$4</f>
        <v>80</v>
      </c>
      <c r="G11" s="65">
        <f>SUM(H5:H10)</f>
        <v>37286.583000000006</v>
      </c>
      <c r="H11" s="65">
        <f t="shared" ref="H11" si="3">ROUND(F11*G11,3)</f>
        <v>2982926.64</v>
      </c>
      <c r="K11" s="76">
        <f>SUM(K5:K10)</f>
        <v>2982926.64</v>
      </c>
    </row>
    <row r="13" spans="1:17">
      <c r="C13" s="66"/>
    </row>
  </sheetData>
  <dataValidations count="1">
    <dataValidation type="list" allowBlank="1" showErrorMessage="1" sqref="C11 C4" xr:uid="{CE01153A-46A9-4DBA-B9E3-4AB09FBABE89}">
      <formula1>"Capítulo,Partida,Mano de obra,Maquinaria,Material,Otros,Tarea"</formula1>
    </dataValidation>
  </dataValidations>
  <hyperlinks>
    <hyperlink ref="B1" location="'01.- Presupuesto'!A1" display="02.- Presupuesto'!A1" xr:uid="{A24DF6E0-0FCD-6041-9135-045D43F393CA}"/>
  </hyperlinks>
  <pageMargins left="0.7" right="0.7" top="0.75" bottom="0.75" header="0.3" footer="0.3"/>
  <pageSetup orientation="portrait" horizontalDpi="0" verticalDpi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8337-B2ED-42D8-93B5-397F6547042D}">
  <sheetPr>
    <tabColor theme="9" tint="0.59999389629810485"/>
  </sheetPr>
  <dimension ref="A1:Q11"/>
  <sheetViews>
    <sheetView showGridLines="0" zoomScaleNormal="100" workbookViewId="0">
      <selection activeCell="K38" sqref="K38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318</v>
      </c>
      <c r="C4" s="53" t="s">
        <v>36</v>
      </c>
      <c r="D4" s="148" t="str">
        <f>'01.- Presupuesto'!F172</f>
        <v>m</v>
      </c>
      <c r="E4" s="149" t="str">
        <f>'01.- Presupuesto'!C172</f>
        <v>Suministro e instalación Solerilla canto redondo, para contención y terminación de grava</v>
      </c>
      <c r="F4" s="73">
        <f>'01.- Presupuesto'!G172</f>
        <v>60</v>
      </c>
      <c r="G4" s="55">
        <f>G9</f>
        <v>6015.8119999999999</v>
      </c>
      <c r="H4" s="55">
        <f>H9</f>
        <v>360948.72</v>
      </c>
      <c r="J4" s="74" t="s">
        <v>30</v>
      </c>
      <c r="K4" s="74" t="s">
        <v>37</v>
      </c>
      <c r="M4" s="70">
        <f>SUMIF(C5:C21,"Material",K5:K21)</f>
        <v>166648.74000000002</v>
      </c>
      <c r="N4" s="70">
        <f>SUMIF(C5:C21,"Mano de Obra",K5:K21)</f>
        <v>161916.66</v>
      </c>
      <c r="O4" s="70">
        <f>SUMIF(C5:C21,"Subcontrato",K5:K21)</f>
        <v>0</v>
      </c>
      <c r="P4" s="70">
        <f>SUMIF(C5:C21,"Ser&amp;Arr",K5:K21)</f>
        <v>32383.32</v>
      </c>
      <c r="Q4" s="71">
        <f>SUM(M4:P4)</f>
        <v>360948.72000000003</v>
      </c>
    </row>
    <row r="5" spans="1:17" ht="16">
      <c r="B5" s="56"/>
      <c r="C5" s="56" t="s">
        <v>38</v>
      </c>
      <c r="D5" s="57" t="s">
        <v>39</v>
      </c>
      <c r="E5" s="58" t="s">
        <v>521</v>
      </c>
      <c r="F5" s="59">
        <v>1</v>
      </c>
      <c r="G5" s="60">
        <f>3190/1.19</f>
        <v>2680.6722689075632</v>
      </c>
      <c r="H5" s="61">
        <f t="shared" ref="H5:H9" si="0">ROUND(F5*G5,3)</f>
        <v>2680.672</v>
      </c>
      <c r="J5" s="75">
        <f>F5*$F$4</f>
        <v>60</v>
      </c>
      <c r="K5" s="67">
        <f>H5*$F$4</f>
        <v>160840.32000000001</v>
      </c>
    </row>
    <row r="6" spans="1:17" ht="16">
      <c r="B6" s="56"/>
      <c r="C6" s="56" t="s">
        <v>38</v>
      </c>
      <c r="D6" s="57" t="s">
        <v>39</v>
      </c>
      <c r="E6" s="58" t="s">
        <v>520</v>
      </c>
      <c r="F6" s="59">
        <f>0.06/1.5</f>
        <v>0.04</v>
      </c>
      <c r="G6" s="60">
        <f>2880/1.19</f>
        <v>2420.1680672268908</v>
      </c>
      <c r="H6" s="61">
        <f t="shared" si="0"/>
        <v>96.807000000000002</v>
      </c>
      <c r="J6" s="75">
        <f t="shared" ref="J6:J7" si="1">F6*$F$4</f>
        <v>2.4</v>
      </c>
      <c r="K6" s="67">
        <f t="shared" ref="K6:K7" si="2">H6*$F$4</f>
        <v>5808.42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1/2</f>
        <v>0.5</v>
      </c>
      <c r="G7" s="60">
        <f>Jornal</f>
        <v>5397.2222222222226</v>
      </c>
      <c r="H7" s="61">
        <f t="shared" si="0"/>
        <v>2698.6109999999999</v>
      </c>
      <c r="J7" s="75">
        <f t="shared" si="1"/>
        <v>30</v>
      </c>
      <c r="K7" s="67">
        <f t="shared" si="2"/>
        <v>161916.66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SUM(H7:H7)</f>
        <v>2698.6109999999999</v>
      </c>
      <c r="H8" s="61">
        <f>ROUND(F8*G8,3)</f>
        <v>539.72199999999998</v>
      </c>
      <c r="J8" s="75">
        <f>F8*$F$4</f>
        <v>12</v>
      </c>
      <c r="K8" s="67">
        <f>H8*$F$4</f>
        <v>32383.32</v>
      </c>
    </row>
    <row r="9" spans="1:17" ht="16">
      <c r="B9" s="62"/>
      <c r="C9" s="62"/>
      <c r="D9" s="63"/>
      <c r="E9" s="64" t="s">
        <v>522</v>
      </c>
      <c r="F9" s="120">
        <f>$F$4</f>
        <v>60</v>
      </c>
      <c r="G9" s="65">
        <f>SUM(H5:H8)</f>
        <v>6015.8119999999999</v>
      </c>
      <c r="H9" s="65">
        <f t="shared" si="0"/>
        <v>360948.72</v>
      </c>
      <c r="K9" s="76">
        <f>SUM(K5:K8)</f>
        <v>360948.72000000003</v>
      </c>
    </row>
    <row r="11" spans="1:17">
      <c r="C11" s="66"/>
    </row>
  </sheetData>
  <dataValidations count="1">
    <dataValidation type="list" allowBlank="1" showErrorMessage="1" sqref="C9 C4" xr:uid="{F44FC81F-1B6E-4FC6-8CA0-0C9BF968CC16}">
      <formula1>"Capítulo,Partida,Mano de obra,Maquinaria,Material,Otros,Tarea"</formula1>
    </dataValidation>
  </dataValidations>
  <hyperlinks>
    <hyperlink ref="B1" location="'01.- Presupuesto'!A1" display="02.- Presupuesto'!A1" xr:uid="{9C39AD6B-3A5A-8C4F-BF48-A4987C7281ED}"/>
  </hyperlinks>
  <pageMargins left="0.7" right="0.7" top="0.75" bottom="0.75" header="0.3" footer="0.3"/>
  <pageSetup orientation="portrait" horizontalDpi="0" verticalDpi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1773-783E-4EEC-884E-3D18BE9BAB51}">
  <sheetPr>
    <tabColor theme="9" tint="0.59999389629810485"/>
  </sheetPr>
  <dimension ref="A1:Q11"/>
  <sheetViews>
    <sheetView showGridLines="0" zoomScaleNormal="100" workbookViewId="0">
      <selection activeCell="K38" sqref="K38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319</v>
      </c>
      <c r="C4" s="53" t="s">
        <v>36</v>
      </c>
      <c r="D4" s="148" t="str">
        <f>'01.- Presupuesto'!F173</f>
        <v>m</v>
      </c>
      <c r="E4" s="149" t="str">
        <f>'01.- Presupuesto'!C173</f>
        <v>Suministro e instalación Solera tipo Manquehue</v>
      </c>
      <c r="F4" s="73">
        <f>'01.- Presupuesto'!G173</f>
        <v>250</v>
      </c>
      <c r="G4" s="55">
        <f>G9</f>
        <v>13863.543</v>
      </c>
      <c r="H4" s="55">
        <f>H9</f>
        <v>3465885.75</v>
      </c>
      <c r="J4" s="74" t="s">
        <v>30</v>
      </c>
      <c r="K4" s="74" t="s">
        <v>37</v>
      </c>
      <c r="M4" s="70">
        <f>SUMIF(C5:C21,"Material",K5:K21)</f>
        <v>2656302.5</v>
      </c>
      <c r="N4" s="70">
        <f>SUMIF(C5:C21,"Mano de Obra",K5:K21)</f>
        <v>674652.75</v>
      </c>
      <c r="O4" s="70">
        <f>SUMIF(C5:C21,"Subcontrato",K5:K21)</f>
        <v>0</v>
      </c>
      <c r="P4" s="70">
        <f>SUMIF(C5:C21,"Ser&amp;Arr",K5:K21)</f>
        <v>134930.5</v>
      </c>
      <c r="Q4" s="71">
        <f>SUM(M4:P4)</f>
        <v>3465885.75</v>
      </c>
    </row>
    <row r="5" spans="1:17" ht="16">
      <c r="B5" s="56"/>
      <c r="C5" s="56" t="s">
        <v>38</v>
      </c>
      <c r="D5" s="57" t="s">
        <v>39</v>
      </c>
      <c r="E5" s="58" t="s">
        <v>521</v>
      </c>
      <c r="F5" s="59">
        <v>2</v>
      </c>
      <c r="G5" s="60">
        <f>5890/1.19</f>
        <v>4949.5798319327732</v>
      </c>
      <c r="H5" s="61">
        <f t="shared" ref="H5:H7" si="0">ROUND(F5*G5,3)</f>
        <v>9899.16</v>
      </c>
      <c r="J5" s="75">
        <f>F5*$F$4</f>
        <v>500</v>
      </c>
      <c r="K5" s="67">
        <f>H5*$F$4</f>
        <v>2474790</v>
      </c>
    </row>
    <row r="6" spans="1:17" ht="16">
      <c r="B6" s="56"/>
      <c r="C6" s="56" t="s">
        <v>38</v>
      </c>
      <c r="D6" s="57" t="s">
        <v>39</v>
      </c>
      <c r="E6" s="58" t="s">
        <v>520</v>
      </c>
      <c r="F6" s="59">
        <f>0.45/1.5</f>
        <v>0.3</v>
      </c>
      <c r="G6" s="60">
        <f>2880/1.19</f>
        <v>2420.1680672268908</v>
      </c>
      <c r="H6" s="61">
        <f t="shared" si="0"/>
        <v>726.05</v>
      </c>
      <c r="J6" s="75">
        <f t="shared" ref="J6:J8" si="1">F6*$F$4</f>
        <v>75</v>
      </c>
      <c r="K6" s="67">
        <f t="shared" ref="K6:K8" si="2">H6*$F$4</f>
        <v>181512.5</v>
      </c>
    </row>
    <row r="7" spans="1:17" ht="16">
      <c r="B7" s="56"/>
      <c r="C7" s="56" t="s">
        <v>40</v>
      </c>
      <c r="D7" s="57" t="s">
        <v>41</v>
      </c>
      <c r="E7" s="58" t="s">
        <v>68</v>
      </c>
      <c r="F7" s="59">
        <f>1/2</f>
        <v>0.5</v>
      </c>
      <c r="G7" s="60">
        <f>Jornal</f>
        <v>5397.2222222222226</v>
      </c>
      <c r="H7" s="61">
        <f t="shared" si="0"/>
        <v>2698.6109999999999</v>
      </c>
      <c r="J7" s="75">
        <f t="shared" si="1"/>
        <v>125</v>
      </c>
      <c r="K7" s="67">
        <f t="shared" si="2"/>
        <v>674652.75</v>
      </c>
    </row>
    <row r="8" spans="1:17" ht="16">
      <c r="B8" s="56"/>
      <c r="C8" s="56" t="s">
        <v>54</v>
      </c>
      <c r="D8" s="57" t="s">
        <v>42</v>
      </c>
      <c r="E8" s="58" t="s">
        <v>55</v>
      </c>
      <c r="F8" s="59">
        <v>0.2</v>
      </c>
      <c r="G8" s="60">
        <f>SUM(H7:H7)</f>
        <v>2698.6109999999999</v>
      </c>
      <c r="H8" s="61">
        <f>ROUND(F8*G8,3)</f>
        <v>539.72199999999998</v>
      </c>
      <c r="J8" s="75">
        <f t="shared" si="1"/>
        <v>50</v>
      </c>
      <c r="K8" s="67">
        <f t="shared" si="2"/>
        <v>134930.5</v>
      </c>
    </row>
    <row r="9" spans="1:17" ht="16">
      <c r="B9" s="62"/>
      <c r="C9" s="62"/>
      <c r="D9" s="63"/>
      <c r="E9" s="64" t="s">
        <v>523</v>
      </c>
      <c r="F9" s="120">
        <f>$F$4</f>
        <v>250</v>
      </c>
      <c r="G9" s="65">
        <f>SUM(H5:H8)</f>
        <v>13863.543</v>
      </c>
      <c r="H9" s="65">
        <f t="shared" ref="H9" si="3">ROUND(F9*G9,3)</f>
        <v>3465885.75</v>
      </c>
      <c r="K9" s="76">
        <f>SUM(K5:K8)</f>
        <v>3465885.75</v>
      </c>
    </row>
    <row r="11" spans="1:17">
      <c r="C11" s="66"/>
    </row>
  </sheetData>
  <dataValidations count="1">
    <dataValidation type="list" allowBlank="1" showErrorMessage="1" sqref="C9 C4" xr:uid="{B858C526-BB85-4BA1-8B1B-4FA4BF16F7A3}">
      <formula1>"Capítulo,Partida,Mano de obra,Maquinaria,Material,Otros,Tarea"</formula1>
    </dataValidation>
  </dataValidations>
  <hyperlinks>
    <hyperlink ref="B1" location="'01.- Presupuesto'!A1" display="02.- Presupuesto'!A1" xr:uid="{366D88EF-E83F-064F-B809-D6B61B4F0AAD}"/>
  </hyperlinks>
  <pageMargins left="0.7" right="0.7" top="0.75" bottom="0.75" header="0.3" footer="0.3"/>
  <pageSetup orientation="portrait" horizontalDpi="0" verticalDpi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6147-96A2-4784-B1ED-8C9D8085AEF4}">
  <sheetPr>
    <tabColor theme="9" tint="0.59999389629810485"/>
  </sheetPr>
  <dimension ref="A1:Q8"/>
  <sheetViews>
    <sheetView showGridLines="0" zoomScaleNormal="100" workbookViewId="0">
      <selection activeCell="K38" sqref="K38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320</v>
      </c>
      <c r="C4" s="53" t="s">
        <v>36</v>
      </c>
      <c r="D4" s="148" t="str">
        <f>'01.- Presupuesto'!F175</f>
        <v>m</v>
      </c>
      <c r="E4" s="149" t="str">
        <f>'01.- Presupuesto'!C175</f>
        <v>Suministro e instalación cierre perimetral exterior tipo Acmafor</v>
      </c>
      <c r="F4" s="73">
        <f>'01.- Presupuesto'!G175</f>
        <v>73.3</v>
      </c>
      <c r="G4" s="55">
        <f>G6</f>
        <v>30550</v>
      </c>
      <c r="H4" s="55">
        <f>H6</f>
        <v>2239315</v>
      </c>
      <c r="J4" s="74" t="s">
        <v>30</v>
      </c>
      <c r="K4" s="74" t="s">
        <v>37</v>
      </c>
      <c r="M4" s="70">
        <f>SUMIF(C5:C18,"Material",K5:K18)</f>
        <v>0</v>
      </c>
      <c r="N4" s="70">
        <f>SUMIF(C5:C18,"Mano de Obra",K5:K18)</f>
        <v>0</v>
      </c>
      <c r="O4" s="70">
        <f>SUMIF(C5:C18,"Subcontrato",K5:K18)</f>
        <v>2239315</v>
      </c>
      <c r="P4" s="70">
        <f>SUMIF(C5:C18,"Ser&amp;Arr",K5:K18)</f>
        <v>0</v>
      </c>
      <c r="Q4" s="71">
        <f>SUM(M4:P4)</f>
        <v>2239315</v>
      </c>
    </row>
    <row r="5" spans="1:17" ht="16">
      <c r="B5" s="56"/>
      <c r="C5" s="56" t="s">
        <v>94</v>
      </c>
      <c r="D5" s="57" t="s">
        <v>65</v>
      </c>
      <c r="E5" s="58" t="s">
        <v>532</v>
      </c>
      <c r="F5" s="59">
        <v>1</v>
      </c>
      <c r="G5" s="60">
        <f>SCAcmafor</f>
        <v>30550</v>
      </c>
      <c r="H5" s="61">
        <f t="shared" ref="H5" si="0">ROUND(F5*G5,3)</f>
        <v>30550</v>
      </c>
      <c r="J5" s="75">
        <f>F5*$F$4</f>
        <v>73.3</v>
      </c>
      <c r="K5" s="67">
        <f>H5*$F$4</f>
        <v>2239315</v>
      </c>
    </row>
    <row r="6" spans="1:17" ht="16">
      <c r="B6" s="62"/>
      <c r="C6" s="62"/>
      <c r="D6" s="63"/>
      <c r="E6" s="64" t="s">
        <v>585</v>
      </c>
      <c r="F6" s="120">
        <f>$F$4</f>
        <v>73.3</v>
      </c>
      <c r="G6" s="65">
        <f>SUM(H5:H5)</f>
        <v>30550</v>
      </c>
      <c r="H6" s="65">
        <f t="shared" ref="H6" si="1">ROUND(F6*G6,3)</f>
        <v>2239315</v>
      </c>
      <c r="K6" s="76">
        <f>SUM(K5:K5)</f>
        <v>2239315</v>
      </c>
    </row>
    <row r="8" spans="1:17">
      <c r="C8" s="66"/>
    </row>
  </sheetData>
  <dataValidations count="1">
    <dataValidation type="list" allowBlank="1" showErrorMessage="1" sqref="C6 C4" xr:uid="{00A0FBEB-86FF-402D-B9F9-7F1559828876}">
      <formula1>"Capítulo,Partida,Mano de obra,Maquinaria,Material,Otros,Tarea"</formula1>
    </dataValidation>
  </dataValidations>
  <hyperlinks>
    <hyperlink ref="B1" location="'01.- Presupuesto'!A1" display="02.- Presupuesto'!A1" xr:uid="{41BEDED8-0A80-9C43-8E41-40CF979FFDA0}"/>
  </hyperlinks>
  <pageMargins left="0.7" right="0.7" top="0.75" bottom="0.75" header="0.3" footer="0.3"/>
  <pageSetup orientation="portrait" horizontalDpi="0" verticalDpi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9DB9-C419-4924-B073-719D3C09D54B}">
  <sheetPr>
    <tabColor theme="9" tint="0.59999389629810485"/>
  </sheetPr>
  <dimension ref="A1:Q8"/>
  <sheetViews>
    <sheetView showGridLines="0" zoomScaleNormal="100" workbookViewId="0">
      <selection activeCell="K38" sqref="K38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321</v>
      </c>
      <c r="C4" s="53" t="s">
        <v>36</v>
      </c>
      <c r="D4" s="148" t="str">
        <f>'01.- Presupuesto'!F176</f>
        <v>un</v>
      </c>
      <c r="E4" s="149" t="str">
        <f>'01.- Presupuesto'!C176</f>
        <v>Portón peatonal tipo Acmafor, ancho 1,0 metros</v>
      </c>
      <c r="F4" s="73">
        <f>'01.- Presupuesto'!G176</f>
        <v>4</v>
      </c>
      <c r="G4" s="55">
        <f>G6</f>
        <v>520466</v>
      </c>
      <c r="H4" s="55">
        <f>H6</f>
        <v>2081864</v>
      </c>
      <c r="J4" s="74" t="s">
        <v>30</v>
      </c>
      <c r="K4" s="74" t="s">
        <v>37</v>
      </c>
      <c r="M4" s="70">
        <f>SUMIF(C5:C18,"Material",K5:K18)</f>
        <v>0</v>
      </c>
      <c r="N4" s="70">
        <f>SUMIF(C5:C18,"Mano de Obra",K5:K18)</f>
        <v>0</v>
      </c>
      <c r="O4" s="70">
        <f>SUMIF(C5:C18,"Subcontrato",K5:K18)</f>
        <v>2081864</v>
      </c>
      <c r="P4" s="70">
        <f>SUMIF(C5:C18,"Ser&amp;Arr",K5:K18)</f>
        <v>0</v>
      </c>
      <c r="Q4" s="71">
        <f>SUM(M4:P4)</f>
        <v>2081864</v>
      </c>
    </row>
    <row r="5" spans="1:17" ht="16">
      <c r="B5" s="56"/>
      <c r="C5" s="56" t="s">
        <v>94</v>
      </c>
      <c r="D5" s="57" t="s">
        <v>76</v>
      </c>
      <c r="E5" s="58" t="s">
        <v>586</v>
      </c>
      <c r="F5" s="59">
        <v>1</v>
      </c>
      <c r="G5" s="60">
        <v>520466</v>
      </c>
      <c r="H5" s="61">
        <f t="shared" ref="H5" si="0">ROUND(F5*G5,3)</f>
        <v>520466</v>
      </c>
      <c r="J5" s="75">
        <f>F5*$F$4</f>
        <v>4</v>
      </c>
      <c r="K5" s="67">
        <f>H5*$F$4</f>
        <v>2081864</v>
      </c>
    </row>
    <row r="6" spans="1:17" ht="16">
      <c r="B6" s="62"/>
      <c r="C6" s="62"/>
      <c r="D6" s="63"/>
      <c r="E6" s="64" t="s">
        <v>587</v>
      </c>
      <c r="F6" s="120">
        <f>$F$4</f>
        <v>4</v>
      </c>
      <c r="G6" s="65">
        <f>SUM(H5:H5)</f>
        <v>520466</v>
      </c>
      <c r="H6" s="65">
        <f t="shared" ref="H6" si="1">ROUND(F6*G6,3)</f>
        <v>2081864</v>
      </c>
      <c r="K6" s="76">
        <f>SUM(K5:K5)</f>
        <v>2081864</v>
      </c>
    </row>
    <row r="8" spans="1:17">
      <c r="C8" s="66"/>
    </row>
  </sheetData>
  <dataValidations count="1">
    <dataValidation type="list" allowBlank="1" showErrorMessage="1" sqref="C6 C4" xr:uid="{69C4C36E-3F7B-4D8E-995E-CA0F72D56BAE}">
      <formula1>"Capítulo,Partida,Mano de obra,Maquinaria,Material,Otros,Tarea"</formula1>
    </dataValidation>
  </dataValidations>
  <hyperlinks>
    <hyperlink ref="B1" location="'01.- Presupuesto'!A1" display="02.- Presupuesto'!A1" xr:uid="{39503A2D-D284-C342-B60A-1A080088C005}"/>
  </hyperlinks>
  <pageMargins left="0.7" right="0.7" top="0.75" bottom="0.75" header="0.3" footer="0.3"/>
  <pageSetup orientation="portrait" horizontalDpi="0" verticalDpi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B4AC-CF42-4A23-BD8C-EBCFFDD7B4BE}">
  <sheetPr>
    <tabColor theme="9" tint="0.59999389629810485"/>
  </sheetPr>
  <dimension ref="A1:Q21"/>
  <sheetViews>
    <sheetView showGridLines="0" zoomScaleNormal="100" workbookViewId="0">
      <selection activeCell="S39" sqref="S39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330</v>
      </c>
      <c r="C4" s="53" t="s">
        <v>36</v>
      </c>
      <c r="D4" s="148" t="str">
        <f>'01.- Presupuesto'!F180</f>
        <v>un</v>
      </c>
      <c r="E4" s="149" t="str">
        <f>'01.- Presupuesto'!C180</f>
        <v>Construcción cámara 0,6x0,6x1,1 c/tapa diamantada galvanizada</v>
      </c>
      <c r="F4" s="73">
        <f>'01.- Presupuesto'!G180</f>
        <v>4</v>
      </c>
      <c r="G4" s="55">
        <f>G21</f>
        <v>556715.4389999999</v>
      </c>
      <c r="H4" s="55">
        <f>H21</f>
        <v>2226861.7560000001</v>
      </c>
      <c r="J4" s="74" t="s">
        <v>30</v>
      </c>
      <c r="K4" s="74" t="s">
        <v>37</v>
      </c>
      <c r="M4" s="70">
        <f>SUMIF(C5:C21,"Material",K5:K21)</f>
        <v>1416722.1679999998</v>
      </c>
      <c r="N4" s="70">
        <f>SUMIF(C5:C21,"Mano de Obra",K5:K21)</f>
        <v>577422.22399999993</v>
      </c>
      <c r="O4" s="70">
        <f>SUMIF(C5:C21,"Subcontrato",K5:K21)</f>
        <v>57232.92</v>
      </c>
      <c r="P4" s="70">
        <f>SUMIF(C5:C21,"Ser&amp;Arr",K5:K21)</f>
        <v>175484.44400000002</v>
      </c>
      <c r="Q4" s="71">
        <f>SUM(M4:P4)</f>
        <v>2226861.7559999996</v>
      </c>
    </row>
    <row r="5" spans="1:17" ht="16">
      <c r="B5" s="56"/>
      <c r="C5" s="56" t="s">
        <v>38</v>
      </c>
      <c r="D5" s="57" t="s">
        <v>67</v>
      </c>
      <c r="E5" s="58" t="s">
        <v>382</v>
      </c>
      <c r="F5" s="59">
        <f>((4*0.8*1.1)+(0.8*0.8))*0.2</f>
        <v>0.83200000000000007</v>
      </c>
      <c r="G5" s="60">
        <f>HormG20</f>
        <v>108376.92</v>
      </c>
      <c r="H5" s="61">
        <f t="shared" ref="H5:H15" si="0">ROUND(F5*G5,3)</f>
        <v>90169.596999999994</v>
      </c>
      <c r="J5" s="75">
        <f>F5*$F$4</f>
        <v>3.3280000000000003</v>
      </c>
      <c r="K5" s="67">
        <f>H5*$F$4</f>
        <v>360678.38799999998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6-F5</f>
        <v>5.1680000000000001</v>
      </c>
      <c r="G6" s="60">
        <v>12000</v>
      </c>
      <c r="H6" s="61">
        <f t="shared" si="0"/>
        <v>62016</v>
      </c>
      <c r="J6" s="75">
        <f t="shared" ref="J6:J20" si="1">F6*$F$4</f>
        <v>20.672000000000001</v>
      </c>
      <c r="K6" s="67">
        <f t="shared" ref="K6:K20" si="2">H6*$F$4</f>
        <v>248064</v>
      </c>
    </row>
    <row r="7" spans="1:17" ht="16">
      <c r="B7" s="56"/>
      <c r="C7" s="56" t="s">
        <v>38</v>
      </c>
      <c r="D7" s="57" t="s">
        <v>396</v>
      </c>
      <c r="E7" s="58" t="s">
        <v>395</v>
      </c>
      <c r="F7" s="59">
        <f>0.617*((2.92*(0.8/0.2)*2)+(2.78*(1.1/0.2)))</f>
        <v>23.847049999999999</v>
      </c>
      <c r="G7" s="60">
        <v>900</v>
      </c>
      <c r="H7" s="61">
        <f>ROUND(F7*G7,3)</f>
        <v>21462.345000000001</v>
      </c>
      <c r="J7" s="75">
        <f>F7*$F$4</f>
        <v>95.388199999999998</v>
      </c>
      <c r="K7" s="67">
        <f>H7*$F$4</f>
        <v>85849.38</v>
      </c>
    </row>
    <row r="8" spans="1:17" ht="16">
      <c r="B8" s="56"/>
      <c r="C8" s="56" t="s">
        <v>38</v>
      </c>
      <c r="D8" s="57" t="s">
        <v>396</v>
      </c>
      <c r="E8" s="58" t="s">
        <v>397</v>
      </c>
      <c r="F8" s="59">
        <f>1/30*F7</f>
        <v>0.79490166666666662</v>
      </c>
      <c r="G8" s="60">
        <v>1630</v>
      </c>
      <c r="H8" s="61">
        <f>ROUND(F8*G8,3)</f>
        <v>1295.69</v>
      </c>
      <c r="J8" s="75">
        <f>F8*$F$4</f>
        <v>3.1796066666666665</v>
      </c>
      <c r="K8" s="67">
        <f>H8*$F$4</f>
        <v>5182.76</v>
      </c>
    </row>
    <row r="9" spans="1:17" ht="16">
      <c r="B9" s="56"/>
      <c r="C9" s="56" t="s">
        <v>38</v>
      </c>
      <c r="D9" s="57" t="s">
        <v>76</v>
      </c>
      <c r="E9" s="58" t="s">
        <v>476</v>
      </c>
      <c r="F9" s="59">
        <v>1</v>
      </c>
      <c r="G9" s="60">
        <v>130000</v>
      </c>
      <c r="H9" s="61">
        <f>ROUND(F9*G9,3)</f>
        <v>130000</v>
      </c>
      <c r="J9" s="75">
        <f>F9*$F$4</f>
        <v>4</v>
      </c>
      <c r="K9" s="67">
        <f>H9*$F$4</f>
        <v>520000</v>
      </c>
    </row>
    <row r="10" spans="1:17" ht="16">
      <c r="B10" s="56"/>
      <c r="C10" s="56" t="s">
        <v>38</v>
      </c>
      <c r="D10" s="57" t="s">
        <v>39</v>
      </c>
      <c r="E10" s="58" t="s">
        <v>390</v>
      </c>
      <c r="F10" s="59">
        <f>1/0.48*((4*0.8*1.1)+(0.8*0.8))</f>
        <v>8.6666666666666679</v>
      </c>
      <c r="G10" s="60">
        <v>2400</v>
      </c>
      <c r="H10" s="61">
        <f t="shared" ref="H10:H13" si="3">ROUND(F10*G10,3)</f>
        <v>20800</v>
      </c>
      <c r="J10" s="75">
        <f t="shared" ref="J10:J13" si="4">F10*$F$4</f>
        <v>34.666666666666671</v>
      </c>
      <c r="K10" s="67">
        <f t="shared" ref="K10:K13" si="5">H10*$F$4</f>
        <v>83200</v>
      </c>
    </row>
    <row r="11" spans="1:17" ht="16">
      <c r="B11" s="56"/>
      <c r="C11" s="56" t="s">
        <v>38</v>
      </c>
      <c r="D11" s="57" t="s">
        <v>39</v>
      </c>
      <c r="E11" s="58" t="s">
        <v>391</v>
      </c>
      <c r="F11" s="59">
        <f>1.05*1/(1.22*2.44)*((4*0.8*1.1)+(0.8*0.8))</f>
        <v>1.4673474872346146</v>
      </c>
      <c r="G11" s="60">
        <v>16966</v>
      </c>
      <c r="H11" s="61">
        <f t="shared" si="3"/>
        <v>24895.017</v>
      </c>
      <c r="J11" s="75">
        <f t="shared" si="4"/>
        <v>5.8693899489384584</v>
      </c>
      <c r="K11" s="67">
        <f t="shared" si="5"/>
        <v>99580.067999999999</v>
      </c>
    </row>
    <row r="12" spans="1:17" ht="16">
      <c r="B12" s="56"/>
      <c r="C12" s="56" t="s">
        <v>38</v>
      </c>
      <c r="D12" s="57" t="s">
        <v>75</v>
      </c>
      <c r="E12" s="58" t="s">
        <v>392</v>
      </c>
      <c r="F12" s="59">
        <f>1/4*((4*0.8*1.1)+(0.8*0.8))</f>
        <v>1.04</v>
      </c>
      <c r="G12" s="60">
        <v>1184</v>
      </c>
      <c r="H12" s="61">
        <f t="shared" si="3"/>
        <v>1231.3599999999999</v>
      </c>
      <c r="J12" s="75">
        <f t="shared" si="4"/>
        <v>4.16</v>
      </c>
      <c r="K12" s="67">
        <f t="shared" si="5"/>
        <v>4925.4399999999996</v>
      </c>
    </row>
    <row r="13" spans="1:17" ht="16">
      <c r="B13" s="56"/>
      <c r="C13" s="56" t="s">
        <v>38</v>
      </c>
      <c r="D13" s="57" t="s">
        <v>39</v>
      </c>
      <c r="E13" s="58" t="s">
        <v>393</v>
      </c>
      <c r="F13" s="59">
        <f>1/72*((4*0.8*1.1)+(0.8*0.8))</f>
        <v>5.7777777777777775E-2</v>
      </c>
      <c r="G13" s="60">
        <v>39990</v>
      </c>
      <c r="H13" s="61">
        <f t="shared" si="3"/>
        <v>2310.5329999999999</v>
      </c>
      <c r="J13" s="75">
        <f t="shared" si="4"/>
        <v>0.2311111111111111</v>
      </c>
      <c r="K13" s="67">
        <f t="shared" si="5"/>
        <v>9242.1319999999996</v>
      </c>
    </row>
    <row r="14" spans="1:17" ht="16">
      <c r="B14" s="56"/>
      <c r="C14" s="56" t="s">
        <v>40</v>
      </c>
      <c r="D14" s="57" t="s">
        <v>41</v>
      </c>
      <c r="E14" s="58" t="s">
        <v>90</v>
      </c>
      <c r="F14" s="59">
        <v>8</v>
      </c>
      <c r="G14" s="60">
        <f>Maestro</f>
        <v>7250</v>
      </c>
      <c r="H14" s="61">
        <f t="shared" si="0"/>
        <v>58000</v>
      </c>
      <c r="J14" s="75">
        <f t="shared" ref="J14:J19" si="6">F14*$F$4</f>
        <v>32</v>
      </c>
      <c r="K14" s="67">
        <f t="shared" ref="K14:K19" si="7">H14*$F$4</f>
        <v>232000</v>
      </c>
    </row>
    <row r="15" spans="1:17" ht="16">
      <c r="B15" s="56"/>
      <c r="C15" s="56" t="s">
        <v>40</v>
      </c>
      <c r="D15" s="57" t="s">
        <v>41</v>
      </c>
      <c r="E15" s="58" t="s">
        <v>68</v>
      </c>
      <c r="F15" s="59">
        <v>16</v>
      </c>
      <c r="G15" s="60">
        <f>Jornal</f>
        <v>5397.2222222222226</v>
      </c>
      <c r="H15" s="61">
        <f t="shared" si="0"/>
        <v>86355.555999999997</v>
      </c>
      <c r="J15" s="75">
        <f t="shared" si="6"/>
        <v>64</v>
      </c>
      <c r="K15" s="67">
        <f t="shared" si="7"/>
        <v>345422.22399999999</v>
      </c>
    </row>
    <row r="16" spans="1:17" ht="16">
      <c r="B16" s="56"/>
      <c r="C16" s="56" t="s">
        <v>54</v>
      </c>
      <c r="D16" s="57" t="s">
        <v>42</v>
      </c>
      <c r="E16" s="58" t="s">
        <v>55</v>
      </c>
      <c r="F16" s="59">
        <v>0.2</v>
      </c>
      <c r="G16" s="60">
        <f>SUM(H14:H15)</f>
        <v>144355.55599999998</v>
      </c>
      <c r="H16" s="61">
        <f>ROUND(F16*G16,3)</f>
        <v>28871.111000000001</v>
      </c>
      <c r="J16" s="75">
        <f t="shared" si="6"/>
        <v>0.8</v>
      </c>
      <c r="K16" s="67">
        <f t="shared" si="7"/>
        <v>115484.444</v>
      </c>
    </row>
    <row r="17" spans="2:11" ht="16">
      <c r="B17" s="56"/>
      <c r="C17" s="56" t="s">
        <v>94</v>
      </c>
      <c r="D17" s="57" t="s">
        <v>75</v>
      </c>
      <c r="E17" s="58" t="s">
        <v>482</v>
      </c>
      <c r="F17" s="59">
        <f>F7</f>
        <v>23.847049999999999</v>
      </c>
      <c r="G17" s="60">
        <f>Enf</f>
        <v>600</v>
      </c>
      <c r="H17" s="61">
        <f>ROUND(F17*G17,3)</f>
        <v>14308.23</v>
      </c>
      <c r="J17" s="75">
        <f t="shared" ref="J17" si="8">F17*$F$4</f>
        <v>95.388199999999998</v>
      </c>
      <c r="K17" s="67">
        <f t="shared" ref="K17" si="9">H17*$F$4</f>
        <v>57232.92</v>
      </c>
    </row>
    <row r="18" spans="2:11" ht="16">
      <c r="B18" s="56"/>
      <c r="C18" s="56" t="s">
        <v>54</v>
      </c>
      <c r="D18" s="57" t="s">
        <v>71</v>
      </c>
      <c r="E18" s="58" t="s">
        <v>372</v>
      </c>
      <c r="F18" s="59">
        <v>1</v>
      </c>
      <c r="G18" s="60">
        <f>3500+3500</f>
        <v>7000</v>
      </c>
      <c r="H18" s="61">
        <f>ROUND(F18*G18,3)</f>
        <v>7000</v>
      </c>
      <c r="J18" s="75">
        <f t="shared" si="6"/>
        <v>4</v>
      </c>
      <c r="K18" s="67">
        <f t="shared" si="7"/>
        <v>28000</v>
      </c>
    </row>
    <row r="19" spans="2:11" ht="16">
      <c r="B19" s="56"/>
      <c r="C19" s="56" t="s">
        <v>54</v>
      </c>
      <c r="D19" s="57" t="s">
        <v>71</v>
      </c>
      <c r="E19" s="58" t="s">
        <v>373</v>
      </c>
      <c r="F19" s="59">
        <v>1</v>
      </c>
      <c r="G19" s="60">
        <f>3500+3500</f>
        <v>7000</v>
      </c>
      <c r="H19" s="61">
        <f>ROUND(F19*G19,3)</f>
        <v>7000</v>
      </c>
      <c r="J19" s="75">
        <f t="shared" si="6"/>
        <v>4</v>
      </c>
      <c r="K19" s="67">
        <f t="shared" si="7"/>
        <v>28000</v>
      </c>
    </row>
    <row r="20" spans="2:11" ht="16">
      <c r="B20" s="56"/>
      <c r="C20" s="56" t="s">
        <v>54</v>
      </c>
      <c r="D20" s="57" t="s">
        <v>76</v>
      </c>
      <c r="E20" s="58" t="s">
        <v>368</v>
      </c>
      <c r="F20" s="59">
        <f>1/50</f>
        <v>0.02</v>
      </c>
      <c r="G20" s="60">
        <v>50000</v>
      </c>
      <c r="H20" s="61">
        <f>ROUND(F20*G20,3)</f>
        <v>1000</v>
      </c>
      <c r="J20" s="75">
        <f t="shared" si="1"/>
        <v>0.08</v>
      </c>
      <c r="K20" s="67">
        <f t="shared" si="2"/>
        <v>4000</v>
      </c>
    </row>
    <row r="21" spans="2:11" ht="16">
      <c r="B21" s="62"/>
      <c r="C21" s="62"/>
      <c r="D21" s="63"/>
      <c r="E21" s="64" t="s">
        <v>475</v>
      </c>
      <c r="F21" s="120">
        <f>$F$4</f>
        <v>4</v>
      </c>
      <c r="G21" s="65">
        <f>SUM(H5:H20)</f>
        <v>556715.4389999999</v>
      </c>
      <c r="H21" s="65">
        <f t="shared" ref="H21" si="10">ROUND(F21*G21,3)</f>
        <v>2226861.7560000001</v>
      </c>
      <c r="K21" s="76">
        <f>SUM(K5:K20)</f>
        <v>2226861.7559999996</v>
      </c>
    </row>
  </sheetData>
  <dataValidations count="1">
    <dataValidation type="list" allowBlank="1" showErrorMessage="1" sqref="C21 C4" xr:uid="{56EF0940-B5DE-4403-B087-09A864DFEC1F}">
      <formula1>"Capítulo,Partida,Mano de obra,Maquinaria,Material,Otros,Tarea"</formula1>
    </dataValidation>
  </dataValidations>
  <hyperlinks>
    <hyperlink ref="B1" location="'01.- Presupuesto'!A1" display="02.- Presupuesto'!A1" xr:uid="{47C887C7-1332-9542-9E16-BA603E27C4AC}"/>
  </hyperlinks>
  <pageMargins left="0.7" right="0.7" top="0.75" bottom="0.75" header="0.3" footer="0.3"/>
  <pageSetup orientation="portrait" horizontalDpi="0" verticalDpi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0320-BC07-440F-8718-15A1548C3666}">
  <sheetPr>
    <tabColor theme="9" tint="0.59999389629810485"/>
  </sheetPr>
  <dimension ref="A1:Q23"/>
  <sheetViews>
    <sheetView showGridLines="0" zoomScaleNormal="100" workbookViewId="0">
      <selection activeCell="S39" sqref="S39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331</v>
      </c>
      <c r="C4" s="53" t="s">
        <v>36</v>
      </c>
      <c r="D4" s="148" t="str">
        <f>'01.- Presupuesto'!F181</f>
        <v>un</v>
      </c>
      <c r="E4" s="149" t="str">
        <f>'01.- Presupuesto'!C181</f>
        <v>Construcción cámara 0,8x0,8x1,0 c/tapa diamantada galvanizada</v>
      </c>
      <c r="F4" s="73">
        <f>'01.- Presupuesto'!G181</f>
        <v>2</v>
      </c>
      <c r="G4" s="55">
        <f>G21</f>
        <v>528544.54099999997</v>
      </c>
      <c r="H4" s="55">
        <f>H21</f>
        <v>1057089.0819999999</v>
      </c>
      <c r="J4" s="74" t="s">
        <v>30</v>
      </c>
      <c r="K4" s="74" t="s">
        <v>37</v>
      </c>
      <c r="M4" s="70">
        <f>SUMIF(C5:C33,"Material",K5:K33)</f>
        <v>650886.47600000002</v>
      </c>
      <c r="N4" s="70">
        <f>SUMIF(C5:C33,"Mano de Obra",K5:K33)</f>
        <v>288711.11199999996</v>
      </c>
      <c r="O4" s="70">
        <f>SUMIF(C5:C33,"Subcontrato",K5:K33)</f>
        <v>29749.272000000001</v>
      </c>
      <c r="P4" s="70">
        <f>SUMIF(C5:C33,"Ser&amp;Arr",K5:K33)</f>
        <v>87742.222000000009</v>
      </c>
      <c r="Q4" s="71">
        <f>SUM(M4:P4)</f>
        <v>1057089.0819999999</v>
      </c>
    </row>
    <row r="5" spans="1:17" ht="16">
      <c r="B5" s="56"/>
      <c r="C5" s="56" t="s">
        <v>38</v>
      </c>
      <c r="D5" s="57" t="s">
        <v>67</v>
      </c>
      <c r="E5" s="58" t="s">
        <v>382</v>
      </c>
      <c r="F5" s="59">
        <f>((4*0.9*1)+(0.9*0.9))*0.2</f>
        <v>0.88200000000000012</v>
      </c>
      <c r="G5" s="60">
        <f>HormG20</f>
        <v>108376.92</v>
      </c>
      <c r="H5" s="61">
        <f t="shared" ref="H5:H15" si="0">ROUND(F5*G5,3)</f>
        <v>95588.442999999999</v>
      </c>
      <c r="J5" s="75">
        <f>F5*$F$4</f>
        <v>1.7640000000000002</v>
      </c>
      <c r="K5" s="67">
        <f>H5*$F$4</f>
        <v>191176.886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v>2</v>
      </c>
      <c r="G6" s="60">
        <v>12000</v>
      </c>
      <c r="H6" s="61">
        <f t="shared" si="0"/>
        <v>24000</v>
      </c>
      <c r="J6" s="75">
        <f t="shared" ref="J6:J14" si="1">F6*$F$4</f>
        <v>4</v>
      </c>
      <c r="K6" s="67">
        <f t="shared" ref="K6:K14" si="2">H6*$F$4</f>
        <v>48000</v>
      </c>
    </row>
    <row r="7" spans="1:17" ht="16">
      <c r="B7" s="56"/>
      <c r="C7" s="56" t="s">
        <v>38</v>
      </c>
      <c r="D7" s="57" t="s">
        <v>396</v>
      </c>
      <c r="E7" s="58" t="s">
        <v>395</v>
      </c>
      <c r="F7" s="59">
        <f>0.617*((2.92*(0.9/0.2)*2)+(2.78*(1/0.2)))</f>
        <v>24.791059999999998</v>
      </c>
      <c r="G7" s="60">
        <v>900</v>
      </c>
      <c r="H7" s="61">
        <f>ROUND(F7*G7,3)</f>
        <v>22311.954000000002</v>
      </c>
      <c r="J7" s="75">
        <f t="shared" si="1"/>
        <v>49.582119999999996</v>
      </c>
      <c r="K7" s="67">
        <f t="shared" si="2"/>
        <v>44623.908000000003</v>
      </c>
    </row>
    <row r="8" spans="1:17" ht="16">
      <c r="B8" s="56"/>
      <c r="C8" s="56" t="s">
        <v>38</v>
      </c>
      <c r="D8" s="57" t="s">
        <v>396</v>
      </c>
      <c r="E8" s="58" t="s">
        <v>397</v>
      </c>
      <c r="F8" s="59">
        <f>1/30*F7</f>
        <v>0.82636866666666664</v>
      </c>
      <c r="G8" s="60">
        <v>1630</v>
      </c>
      <c r="H8" s="61">
        <f>ROUND(F8*G8,3)</f>
        <v>1346.981</v>
      </c>
      <c r="J8" s="75">
        <f t="shared" si="1"/>
        <v>1.6527373333333333</v>
      </c>
      <c r="K8" s="67">
        <f t="shared" si="2"/>
        <v>2693.962</v>
      </c>
    </row>
    <row r="9" spans="1:17" ht="16">
      <c r="B9" s="56"/>
      <c r="C9" s="56" t="s">
        <v>38</v>
      </c>
      <c r="D9" s="57" t="s">
        <v>76</v>
      </c>
      <c r="E9" s="58" t="s">
        <v>476</v>
      </c>
      <c r="F9" s="59">
        <v>1</v>
      </c>
      <c r="G9" s="60">
        <f>130000</f>
        <v>130000</v>
      </c>
      <c r="H9" s="61">
        <f>ROUND(F9*G9,3)</f>
        <v>130000</v>
      </c>
      <c r="J9" s="75">
        <f t="shared" si="1"/>
        <v>2</v>
      </c>
      <c r="K9" s="67">
        <f t="shared" si="2"/>
        <v>260000</v>
      </c>
    </row>
    <row r="10" spans="1:17" ht="16">
      <c r="B10" s="56"/>
      <c r="C10" s="56" t="s">
        <v>38</v>
      </c>
      <c r="D10" s="57" t="s">
        <v>39</v>
      </c>
      <c r="E10" s="58" t="s">
        <v>390</v>
      </c>
      <c r="F10" s="59">
        <f>1/0.48*((4*0.9*1)+(0.9*0.9))</f>
        <v>9.1875000000000018</v>
      </c>
      <c r="G10" s="60">
        <v>2400</v>
      </c>
      <c r="H10" s="61">
        <f t="shared" ref="H10:H13" si="3">ROUND(F10*G10,3)</f>
        <v>22050</v>
      </c>
      <c r="J10" s="75">
        <f t="shared" ref="J10:J13" si="4">F10*$F$4</f>
        <v>18.375000000000004</v>
      </c>
      <c r="K10" s="67">
        <f t="shared" ref="K10:K13" si="5">H10*$F$4</f>
        <v>44100</v>
      </c>
    </row>
    <row r="11" spans="1:17" ht="16">
      <c r="B11" s="56"/>
      <c r="C11" s="56" t="s">
        <v>38</v>
      </c>
      <c r="D11" s="57" t="s">
        <v>39</v>
      </c>
      <c r="E11" s="58" t="s">
        <v>391</v>
      </c>
      <c r="F11" s="59">
        <f>1.05*1/(1.22*2.44)*((4*0.9*1)+(0.9*0.9))</f>
        <v>1.5555294275732332</v>
      </c>
      <c r="G11" s="60">
        <v>16966</v>
      </c>
      <c r="H11" s="61">
        <f t="shared" si="3"/>
        <v>26391.112000000001</v>
      </c>
      <c r="J11" s="75">
        <f t="shared" si="4"/>
        <v>3.1110588551464664</v>
      </c>
      <c r="K11" s="67">
        <f t="shared" si="5"/>
        <v>52782.224000000002</v>
      </c>
    </row>
    <row r="12" spans="1:17" ht="16">
      <c r="B12" s="56"/>
      <c r="C12" s="56" t="s">
        <v>38</v>
      </c>
      <c r="D12" s="57" t="s">
        <v>75</v>
      </c>
      <c r="E12" s="58" t="s">
        <v>392</v>
      </c>
      <c r="F12" s="59">
        <f>1/4*((4*0.9*1)+(0.9*0.9))</f>
        <v>1.1025</v>
      </c>
      <c r="G12" s="60">
        <v>1184</v>
      </c>
      <c r="H12" s="61">
        <f t="shared" si="3"/>
        <v>1305.3599999999999</v>
      </c>
      <c r="J12" s="75">
        <f t="shared" si="4"/>
        <v>2.2050000000000001</v>
      </c>
      <c r="K12" s="67">
        <f t="shared" si="5"/>
        <v>2610.7199999999998</v>
      </c>
    </row>
    <row r="13" spans="1:17" ht="16">
      <c r="B13" s="56"/>
      <c r="C13" s="56" t="s">
        <v>38</v>
      </c>
      <c r="D13" s="57" t="s">
        <v>39</v>
      </c>
      <c r="E13" s="58" t="s">
        <v>393</v>
      </c>
      <c r="F13" s="59">
        <f>1/72*((4*0.9*1)+(0.9*0.9))</f>
        <v>6.1249999999999999E-2</v>
      </c>
      <c r="G13" s="60">
        <v>39990</v>
      </c>
      <c r="H13" s="61">
        <f t="shared" si="3"/>
        <v>2449.3879999999999</v>
      </c>
      <c r="J13" s="75">
        <f t="shared" si="4"/>
        <v>0.1225</v>
      </c>
      <c r="K13" s="67">
        <f t="shared" si="5"/>
        <v>4898.7759999999998</v>
      </c>
    </row>
    <row r="14" spans="1:17" ht="16">
      <c r="B14" s="56"/>
      <c r="C14" s="56" t="s">
        <v>40</v>
      </c>
      <c r="D14" s="57" t="s">
        <v>41</v>
      </c>
      <c r="E14" s="58" t="s">
        <v>90</v>
      </c>
      <c r="F14" s="59">
        <v>8</v>
      </c>
      <c r="G14" s="60">
        <f>Maestro</f>
        <v>7250</v>
      </c>
      <c r="H14" s="61">
        <f t="shared" si="0"/>
        <v>58000</v>
      </c>
      <c r="J14" s="75">
        <f t="shared" si="1"/>
        <v>16</v>
      </c>
      <c r="K14" s="67">
        <f t="shared" si="2"/>
        <v>116000</v>
      </c>
    </row>
    <row r="15" spans="1:17" ht="16">
      <c r="B15" s="56"/>
      <c r="C15" s="56" t="s">
        <v>40</v>
      </c>
      <c r="D15" s="57" t="s">
        <v>41</v>
      </c>
      <c r="E15" s="58" t="s">
        <v>68</v>
      </c>
      <c r="F15" s="59">
        <v>16</v>
      </c>
      <c r="G15" s="60">
        <f>Jornal</f>
        <v>5397.2222222222226</v>
      </c>
      <c r="H15" s="61">
        <f t="shared" si="0"/>
        <v>86355.555999999997</v>
      </c>
      <c r="J15" s="75">
        <f>F15*$F$4</f>
        <v>32</v>
      </c>
      <c r="K15" s="67">
        <f>H15*$F$4</f>
        <v>172711.11199999999</v>
      </c>
    </row>
    <row r="16" spans="1:17" ht="16">
      <c r="B16" s="56"/>
      <c r="C16" s="56" t="s">
        <v>54</v>
      </c>
      <c r="D16" s="57" t="s">
        <v>42</v>
      </c>
      <c r="E16" s="58" t="s">
        <v>55</v>
      </c>
      <c r="F16" s="59">
        <v>0.2</v>
      </c>
      <c r="G16" s="60">
        <f>SUM(H14:H15)</f>
        <v>144355.55599999998</v>
      </c>
      <c r="H16" s="61">
        <f>ROUND(F16*G16,3)</f>
        <v>28871.111000000001</v>
      </c>
      <c r="J16" s="75">
        <f>F16*$F$4</f>
        <v>0.4</v>
      </c>
      <c r="K16" s="67">
        <f>H16*$F$4</f>
        <v>57742.222000000002</v>
      </c>
    </row>
    <row r="17" spans="2:11" ht="16">
      <c r="B17" s="56"/>
      <c r="C17" s="56" t="s">
        <v>94</v>
      </c>
      <c r="D17" s="57" t="s">
        <v>75</v>
      </c>
      <c r="E17" s="58" t="s">
        <v>482</v>
      </c>
      <c r="F17" s="59">
        <f>F7</f>
        <v>24.791059999999998</v>
      </c>
      <c r="G17" s="60">
        <f>Enf</f>
        <v>600</v>
      </c>
      <c r="H17" s="61">
        <f>ROUND(F17*G17,3)</f>
        <v>14874.636</v>
      </c>
      <c r="J17" s="75">
        <f t="shared" ref="J17" si="6">F17*$F$4</f>
        <v>49.582119999999996</v>
      </c>
      <c r="K17" s="67">
        <f t="shared" ref="K17" si="7">H17*$F$4</f>
        <v>29749.272000000001</v>
      </c>
    </row>
    <row r="18" spans="2:11" ht="16">
      <c r="B18" s="56"/>
      <c r="C18" s="56" t="s">
        <v>54</v>
      </c>
      <c r="D18" s="57" t="s">
        <v>71</v>
      </c>
      <c r="E18" s="58" t="s">
        <v>372</v>
      </c>
      <c r="F18" s="59">
        <v>1</v>
      </c>
      <c r="G18" s="60">
        <f>3500+3500</f>
        <v>7000</v>
      </c>
      <c r="H18" s="61">
        <f>ROUND(F18*G18,3)</f>
        <v>7000</v>
      </c>
      <c r="J18" s="75">
        <f t="shared" ref="J18:J19" si="8">F18*$F$4</f>
        <v>2</v>
      </c>
      <c r="K18" s="67">
        <f t="shared" ref="K18:K19" si="9">H18*$F$4</f>
        <v>14000</v>
      </c>
    </row>
    <row r="19" spans="2:11" ht="16">
      <c r="B19" s="56"/>
      <c r="C19" s="56" t="s">
        <v>54</v>
      </c>
      <c r="D19" s="57" t="s">
        <v>71</v>
      </c>
      <c r="E19" s="58" t="s">
        <v>373</v>
      </c>
      <c r="F19" s="59">
        <v>1</v>
      </c>
      <c r="G19" s="60">
        <f>3500+3500</f>
        <v>7000</v>
      </c>
      <c r="H19" s="61">
        <f>ROUND(F19*G19,3)</f>
        <v>7000</v>
      </c>
      <c r="J19" s="75">
        <f t="shared" si="8"/>
        <v>2</v>
      </c>
      <c r="K19" s="67">
        <f t="shared" si="9"/>
        <v>14000</v>
      </c>
    </row>
    <row r="20" spans="2:11" ht="16">
      <c r="B20" s="56"/>
      <c r="C20" s="56" t="s">
        <v>54</v>
      </c>
      <c r="D20" s="57" t="s">
        <v>76</v>
      </c>
      <c r="E20" s="58" t="s">
        <v>368</v>
      </c>
      <c r="F20" s="59">
        <f>1/50</f>
        <v>0.02</v>
      </c>
      <c r="G20" s="60">
        <v>50000</v>
      </c>
      <c r="H20" s="61">
        <f>ROUND(F20*G20,3)</f>
        <v>1000</v>
      </c>
      <c r="J20" s="75">
        <f>F20*$F$4</f>
        <v>0.04</v>
      </c>
      <c r="K20" s="67">
        <f>H20*$F$4</f>
        <v>2000</v>
      </c>
    </row>
    <row r="21" spans="2:11" ht="16">
      <c r="B21" s="62"/>
      <c r="C21" s="62"/>
      <c r="D21" s="63"/>
      <c r="E21" s="64" t="s">
        <v>477</v>
      </c>
      <c r="F21" s="120">
        <f>$F$4</f>
        <v>2</v>
      </c>
      <c r="G21" s="65">
        <f>SUM(H5:H20)</f>
        <v>528544.54099999997</v>
      </c>
      <c r="H21" s="65">
        <f t="shared" ref="H21" si="10">ROUND(F21*G21,3)</f>
        <v>1057089.0819999999</v>
      </c>
      <c r="K21" s="76">
        <f>SUM(K5:K20)</f>
        <v>1057089.0819999999</v>
      </c>
    </row>
    <row r="23" spans="2:11">
      <c r="C23" s="66"/>
    </row>
  </sheetData>
  <dataValidations count="1">
    <dataValidation type="list" allowBlank="1" showErrorMessage="1" sqref="C21 C4" xr:uid="{513F9C9E-C02D-418E-9426-B4C43C13DBF5}">
      <formula1>"Capítulo,Partida,Mano de obra,Maquinaria,Material,Otros,Tarea"</formula1>
    </dataValidation>
  </dataValidations>
  <hyperlinks>
    <hyperlink ref="B1" location="'01.- Presupuesto'!A1" display="02.- Presupuesto'!A1" xr:uid="{BD4470BC-990A-0242-BD44-6E1370AED706}"/>
  </hyperlinks>
  <pageMargins left="0.7" right="0.7" top="0.75" bottom="0.75" header="0.3" footer="0.3"/>
  <pageSetup orientation="portrait" horizontalDpi="0" verticalDpi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81E3-E453-4873-81EB-D0826FA40215}">
  <sheetPr>
    <tabColor theme="9" tint="0.59999389629810485"/>
  </sheetPr>
  <dimension ref="A1:Q23"/>
  <sheetViews>
    <sheetView showGridLines="0" zoomScaleNormal="100" workbookViewId="0">
      <selection activeCell="S39" sqref="S39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332</v>
      </c>
      <c r="C4" s="53" t="s">
        <v>36</v>
      </c>
      <c r="D4" s="148" t="str">
        <f>'01.- Presupuesto'!F182</f>
        <v>un</v>
      </c>
      <c r="E4" s="149" t="str">
        <f>'01.- Presupuesto'!C182</f>
        <v>Construcción cámara 0,8x0,8x1,25 c/tapa diamantada galvanizada</v>
      </c>
      <c r="F4" s="73">
        <f>'01.- Presupuesto'!G182</f>
        <v>1</v>
      </c>
      <c r="G4" s="55">
        <f>G21</f>
        <v>529279.22899999993</v>
      </c>
      <c r="H4" s="55">
        <f>H21</f>
        <v>529279.22900000005</v>
      </c>
      <c r="J4" s="74" t="s">
        <v>30</v>
      </c>
      <c r="K4" s="74" t="s">
        <v>37</v>
      </c>
      <c r="M4" s="70">
        <f>SUMIF(C5:C33,"Material",K5:K33)</f>
        <v>324891.48099999997</v>
      </c>
      <c r="N4" s="70">
        <f>SUMIF(C5:C33,"Mano de Obra",K5:K33)</f>
        <v>144355.55599999998</v>
      </c>
      <c r="O4" s="70">
        <f>SUMIF(C5:C33,"Subcontrato",K5:K33)</f>
        <v>16161.081</v>
      </c>
      <c r="P4" s="70">
        <f>SUMIF(C5:C33,"Ser&amp;Arr",K5:K33)</f>
        <v>43871.111000000004</v>
      </c>
      <c r="Q4" s="71">
        <f>SUM(M4:P4)</f>
        <v>529279.22899999993</v>
      </c>
    </row>
    <row r="5" spans="1:17" ht="16">
      <c r="B5" s="56"/>
      <c r="C5" s="56" t="s">
        <v>38</v>
      </c>
      <c r="D5" s="57" t="s">
        <v>67</v>
      </c>
      <c r="E5" s="58" t="s">
        <v>382</v>
      </c>
      <c r="F5" s="59">
        <f>((4*0.9*1.25)+(0.9*0.9))*0.2</f>
        <v>1.0620000000000001</v>
      </c>
      <c r="G5" s="60">
        <f>HormG20</f>
        <v>108376.92</v>
      </c>
      <c r="H5" s="61">
        <f t="shared" ref="H5:H15" si="0">ROUND(F5*G5,3)</f>
        <v>115096.289</v>
      </c>
      <c r="J5" s="75">
        <f>F5*$F$4</f>
        <v>1.0620000000000001</v>
      </c>
      <c r="K5" s="67">
        <f>H5*$F$4</f>
        <v>115096.289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v>1</v>
      </c>
      <c r="G6" s="60">
        <v>12000</v>
      </c>
      <c r="H6" s="61">
        <f t="shared" si="0"/>
        <v>12000</v>
      </c>
      <c r="J6" s="75">
        <f t="shared" ref="J6:J17" si="1">F6*$F$4</f>
        <v>1</v>
      </c>
      <c r="K6" s="67">
        <f t="shared" ref="K6:K17" si="2">H6*$F$4</f>
        <v>12000</v>
      </c>
    </row>
    <row r="7" spans="1:17" ht="16">
      <c r="B7" s="56"/>
      <c r="C7" s="56" t="s">
        <v>38</v>
      </c>
      <c r="D7" s="57" t="s">
        <v>396</v>
      </c>
      <c r="E7" s="58" t="s">
        <v>395</v>
      </c>
      <c r="F7" s="59">
        <f>0.617*((2.92*(0.9/0.2)*2)+(2.78*(1.25/0.2)))</f>
        <v>26.935134999999999</v>
      </c>
      <c r="G7" s="60">
        <v>900</v>
      </c>
      <c r="H7" s="61">
        <f>ROUND(F7*G7,3)</f>
        <v>24241.621999999999</v>
      </c>
      <c r="J7" s="75">
        <f t="shared" si="1"/>
        <v>26.935134999999999</v>
      </c>
      <c r="K7" s="67">
        <f t="shared" si="2"/>
        <v>24241.621999999999</v>
      </c>
    </row>
    <row r="8" spans="1:17" ht="16">
      <c r="B8" s="56"/>
      <c r="C8" s="56" t="s">
        <v>38</v>
      </c>
      <c r="D8" s="57" t="s">
        <v>396</v>
      </c>
      <c r="E8" s="58" t="s">
        <v>397</v>
      </c>
      <c r="F8" s="59">
        <f>1/30*F7</f>
        <v>0.89783783333333333</v>
      </c>
      <c r="G8" s="60">
        <v>1630</v>
      </c>
      <c r="H8" s="61">
        <f>ROUND(F8*G8,3)</f>
        <v>1463.4760000000001</v>
      </c>
      <c r="J8" s="75">
        <f t="shared" si="1"/>
        <v>0.89783783333333333</v>
      </c>
      <c r="K8" s="67">
        <f t="shared" si="2"/>
        <v>1463.4760000000001</v>
      </c>
    </row>
    <row r="9" spans="1:17" ht="16">
      <c r="B9" s="56"/>
      <c r="C9" s="56" t="s">
        <v>38</v>
      </c>
      <c r="D9" s="57" t="s">
        <v>76</v>
      </c>
      <c r="E9" s="58" t="s">
        <v>476</v>
      </c>
      <c r="F9" s="59">
        <v>1</v>
      </c>
      <c r="G9" s="60">
        <f>129998/1.19</f>
        <v>109242.01680672269</v>
      </c>
      <c r="H9" s="61">
        <f>ROUND(F9*G9,3)</f>
        <v>109242.01700000001</v>
      </c>
      <c r="J9" s="75">
        <f t="shared" ref="J9:J14" si="3">F9*$F$4</f>
        <v>1</v>
      </c>
      <c r="K9" s="67">
        <f t="shared" ref="K9:K14" si="4">H9*$F$4</f>
        <v>109242.01700000001</v>
      </c>
    </row>
    <row r="10" spans="1:17" ht="16">
      <c r="B10" s="56"/>
      <c r="C10" s="56" t="s">
        <v>38</v>
      </c>
      <c r="D10" s="57" t="s">
        <v>39</v>
      </c>
      <c r="E10" s="58" t="s">
        <v>390</v>
      </c>
      <c r="F10" s="59">
        <f>1/0.48*((4*0.9*1.25)+(0.9*0.9))</f>
        <v>11.062500000000002</v>
      </c>
      <c r="G10" s="60">
        <v>2400</v>
      </c>
      <c r="H10" s="61">
        <f t="shared" ref="H10:H13" si="5">ROUND(F10*G10,3)</f>
        <v>26550</v>
      </c>
      <c r="J10" s="75">
        <f t="shared" ref="J10:J13" si="6">F10*$F$4</f>
        <v>11.062500000000002</v>
      </c>
      <c r="K10" s="67">
        <f t="shared" ref="K10:K13" si="7">H10*$F$4</f>
        <v>26550</v>
      </c>
    </row>
    <row r="11" spans="1:17" ht="16">
      <c r="B11" s="56"/>
      <c r="C11" s="56" t="s">
        <v>38</v>
      </c>
      <c r="D11" s="57" t="s">
        <v>39</v>
      </c>
      <c r="E11" s="58" t="s">
        <v>391</v>
      </c>
      <c r="F11" s="59">
        <f>1.05*1/(1.22*2.44)*((4*0.9*1.25)+(0.9*0.9))</f>
        <v>1.8729844127922606</v>
      </c>
      <c r="G11" s="60">
        <v>16966</v>
      </c>
      <c r="H11" s="61">
        <f t="shared" si="5"/>
        <v>31777.054</v>
      </c>
      <c r="J11" s="75">
        <f t="shared" si="6"/>
        <v>1.8729844127922606</v>
      </c>
      <c r="K11" s="67">
        <f t="shared" si="7"/>
        <v>31777.054</v>
      </c>
    </row>
    <row r="12" spans="1:17" ht="16">
      <c r="B12" s="56"/>
      <c r="C12" s="56" t="s">
        <v>38</v>
      </c>
      <c r="D12" s="57" t="s">
        <v>75</v>
      </c>
      <c r="E12" s="58" t="s">
        <v>392</v>
      </c>
      <c r="F12" s="59">
        <f>1/4*((4*0.9*1.25)+(0.9*0.9))</f>
        <v>1.3275000000000001</v>
      </c>
      <c r="G12" s="60">
        <v>1184</v>
      </c>
      <c r="H12" s="61">
        <f t="shared" si="5"/>
        <v>1571.76</v>
      </c>
      <c r="J12" s="75">
        <f t="shared" si="6"/>
        <v>1.3275000000000001</v>
      </c>
      <c r="K12" s="67">
        <f t="shared" si="7"/>
        <v>1571.76</v>
      </c>
    </row>
    <row r="13" spans="1:17" ht="16">
      <c r="B13" s="56"/>
      <c r="C13" s="56" t="s">
        <v>38</v>
      </c>
      <c r="D13" s="57" t="s">
        <v>39</v>
      </c>
      <c r="E13" s="58" t="s">
        <v>393</v>
      </c>
      <c r="F13" s="59">
        <f>1/72*((4*0.9*1.25)+(0.9*0.9))</f>
        <v>7.3749999999999996E-2</v>
      </c>
      <c r="G13" s="60">
        <v>39990</v>
      </c>
      <c r="H13" s="61">
        <f t="shared" si="5"/>
        <v>2949.2629999999999</v>
      </c>
      <c r="J13" s="75">
        <f t="shared" si="6"/>
        <v>7.3749999999999996E-2</v>
      </c>
      <c r="K13" s="67">
        <f t="shared" si="7"/>
        <v>2949.2629999999999</v>
      </c>
    </row>
    <row r="14" spans="1:17" ht="16">
      <c r="B14" s="56"/>
      <c r="C14" s="56" t="s">
        <v>40</v>
      </c>
      <c r="D14" s="57" t="s">
        <v>41</v>
      </c>
      <c r="E14" s="58" t="s">
        <v>90</v>
      </c>
      <c r="F14" s="59">
        <v>8</v>
      </c>
      <c r="G14" s="60">
        <f>Maestro</f>
        <v>7250</v>
      </c>
      <c r="H14" s="61">
        <f t="shared" si="0"/>
        <v>58000</v>
      </c>
      <c r="J14" s="75">
        <f t="shared" si="3"/>
        <v>8</v>
      </c>
      <c r="K14" s="67">
        <f t="shared" si="4"/>
        <v>58000</v>
      </c>
    </row>
    <row r="15" spans="1:17" ht="16">
      <c r="B15" s="56"/>
      <c r="C15" s="56" t="s">
        <v>40</v>
      </c>
      <c r="D15" s="57" t="s">
        <v>41</v>
      </c>
      <c r="E15" s="58" t="s">
        <v>68</v>
      </c>
      <c r="F15" s="59">
        <v>16</v>
      </c>
      <c r="G15" s="60">
        <f>Jornal</f>
        <v>5397.2222222222226</v>
      </c>
      <c r="H15" s="61">
        <f t="shared" si="0"/>
        <v>86355.555999999997</v>
      </c>
      <c r="J15" s="75">
        <f t="shared" si="1"/>
        <v>16</v>
      </c>
      <c r="K15" s="67">
        <f t="shared" si="2"/>
        <v>86355.555999999997</v>
      </c>
    </row>
    <row r="16" spans="1:17" ht="16">
      <c r="B16" s="56"/>
      <c r="C16" s="56" t="s">
        <v>54</v>
      </c>
      <c r="D16" s="57" t="s">
        <v>42</v>
      </c>
      <c r="E16" s="58" t="s">
        <v>55</v>
      </c>
      <c r="F16" s="59">
        <v>0.2</v>
      </c>
      <c r="G16" s="60">
        <f>SUM(H14:H15)</f>
        <v>144355.55599999998</v>
      </c>
      <c r="H16" s="61">
        <f>ROUND(F16*G16,3)</f>
        <v>28871.111000000001</v>
      </c>
      <c r="J16" s="75">
        <f t="shared" si="1"/>
        <v>0.2</v>
      </c>
      <c r="K16" s="67">
        <f t="shared" si="2"/>
        <v>28871.111000000001</v>
      </c>
    </row>
    <row r="17" spans="2:11" ht="16">
      <c r="B17" s="56"/>
      <c r="C17" s="56" t="s">
        <v>94</v>
      </c>
      <c r="D17" s="57" t="s">
        <v>75</v>
      </c>
      <c r="E17" s="58" t="s">
        <v>482</v>
      </c>
      <c r="F17" s="59">
        <f>F7</f>
        <v>26.935134999999999</v>
      </c>
      <c r="G17" s="60">
        <f>Enf</f>
        <v>600</v>
      </c>
      <c r="H17" s="61">
        <f>ROUND(F17*G17,3)</f>
        <v>16161.081</v>
      </c>
      <c r="J17" s="75">
        <f t="shared" si="1"/>
        <v>26.935134999999999</v>
      </c>
      <c r="K17" s="67">
        <f t="shared" si="2"/>
        <v>16161.081</v>
      </c>
    </row>
    <row r="18" spans="2:11" ht="16">
      <c r="B18" s="56"/>
      <c r="C18" s="56" t="s">
        <v>54</v>
      </c>
      <c r="D18" s="57" t="s">
        <v>71</v>
      </c>
      <c r="E18" s="58" t="s">
        <v>372</v>
      </c>
      <c r="F18" s="59">
        <v>1</v>
      </c>
      <c r="G18" s="60">
        <f>3500+3500</f>
        <v>7000</v>
      </c>
      <c r="H18" s="61">
        <f>ROUND(F18*G18,3)</f>
        <v>7000</v>
      </c>
      <c r="J18" s="75">
        <f>F18*$F$4</f>
        <v>1</v>
      </c>
      <c r="K18" s="67">
        <f>H18*$F$4</f>
        <v>7000</v>
      </c>
    </row>
    <row r="19" spans="2:11" ht="16">
      <c r="B19" s="56"/>
      <c r="C19" s="56" t="s">
        <v>54</v>
      </c>
      <c r="D19" s="57" t="s">
        <v>71</v>
      </c>
      <c r="E19" s="58" t="s">
        <v>373</v>
      </c>
      <c r="F19" s="59">
        <v>1</v>
      </c>
      <c r="G19" s="60">
        <f>3500+3500</f>
        <v>7000</v>
      </c>
      <c r="H19" s="61">
        <f>ROUND(F19*G19,3)</f>
        <v>7000</v>
      </c>
      <c r="J19" s="75">
        <f>F19*$F$4</f>
        <v>1</v>
      </c>
      <c r="K19" s="67">
        <f>H19*$F$4</f>
        <v>7000</v>
      </c>
    </row>
    <row r="20" spans="2:11" ht="16">
      <c r="B20" s="56"/>
      <c r="C20" s="56" t="s">
        <v>54</v>
      </c>
      <c r="D20" s="57" t="s">
        <v>76</v>
      </c>
      <c r="E20" s="58" t="s">
        <v>368</v>
      </c>
      <c r="F20" s="59">
        <f>1/50</f>
        <v>0.02</v>
      </c>
      <c r="G20" s="60">
        <v>50000</v>
      </c>
      <c r="H20" s="61">
        <f>ROUND(F20*G20,3)</f>
        <v>1000</v>
      </c>
      <c r="J20" s="75">
        <f>F20*$F$4</f>
        <v>0.02</v>
      </c>
      <c r="K20" s="67">
        <f>H20*$F$4</f>
        <v>1000</v>
      </c>
    </row>
    <row r="21" spans="2:11" ht="16">
      <c r="B21" s="62"/>
      <c r="C21" s="62"/>
      <c r="D21" s="63"/>
      <c r="E21" s="64" t="s">
        <v>478</v>
      </c>
      <c r="F21" s="120">
        <f>$F$4</f>
        <v>1</v>
      </c>
      <c r="G21" s="65">
        <f>SUM(H5:H20)</f>
        <v>529279.22899999993</v>
      </c>
      <c r="H21" s="65">
        <f t="shared" ref="H21" si="8">ROUND(F21*G21,3)</f>
        <v>529279.22900000005</v>
      </c>
      <c r="K21" s="76">
        <f>SUM(K5:K20)</f>
        <v>529279.22899999993</v>
      </c>
    </row>
    <row r="23" spans="2:11">
      <c r="C23" s="66"/>
    </row>
  </sheetData>
  <dataValidations count="1">
    <dataValidation type="list" allowBlank="1" showErrorMessage="1" sqref="C21 C4" xr:uid="{620288AD-1346-4D26-9A4F-2529E235AEF8}">
      <formula1>"Capítulo,Partida,Mano de obra,Maquinaria,Material,Otros,Tarea"</formula1>
    </dataValidation>
  </dataValidations>
  <hyperlinks>
    <hyperlink ref="B1" location="'01.- Presupuesto'!A1" display="02.- Presupuesto'!A1" xr:uid="{5D629400-58C0-B74F-9CC5-49F2A41DF73D}"/>
  </hyperlinks>
  <pageMargins left="0.7" right="0.7" top="0.75" bottom="0.75" header="0.3" footer="0.3"/>
  <pageSetup orientation="portrait" horizontalDpi="0" verticalDpi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6875-4DF5-4085-BF8C-B2E380BF4D3D}">
  <sheetPr>
    <tabColor theme="9" tint="0.59999389629810485"/>
  </sheetPr>
  <dimension ref="A1:Q23"/>
  <sheetViews>
    <sheetView showGridLines="0" zoomScaleNormal="100" workbookViewId="0">
      <selection activeCell="S39" sqref="S39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333</v>
      </c>
      <c r="C4" s="53" t="s">
        <v>36</v>
      </c>
      <c r="D4" s="148" t="str">
        <f>'01.- Presupuesto'!F183</f>
        <v>un</v>
      </c>
      <c r="E4" s="149" t="str">
        <f>'01.- Presupuesto'!C183</f>
        <v>Construcción cámara 1,0x1,0x1,1 c/tapa diamantada galvanizada</v>
      </c>
      <c r="F4" s="73">
        <f>'01.- Presupuesto'!G183</f>
        <v>2</v>
      </c>
      <c r="G4" s="55">
        <f>G21</f>
        <v>557678.63400000008</v>
      </c>
      <c r="H4" s="55">
        <f>H21</f>
        <v>1115357.2679999999</v>
      </c>
      <c r="J4" s="74" t="s">
        <v>30</v>
      </c>
      <c r="K4" s="74" t="s">
        <v>37</v>
      </c>
      <c r="M4" s="70">
        <f>SUMIF(C5:C33,"Material",K5:K33)</f>
        <v>703801.57000000007</v>
      </c>
      <c r="N4" s="70">
        <f>SUMIF(C5:C33,"Mano de Obra",K5:K33)</f>
        <v>288711.11199999996</v>
      </c>
      <c r="O4" s="70">
        <f>SUMIF(C5:C33,"Subcontrato",K5:K33)</f>
        <v>35102.364000000001</v>
      </c>
      <c r="P4" s="70">
        <f>SUMIF(C5:C33,"Ser&amp;Arr",K5:K33)</f>
        <v>87742.222000000009</v>
      </c>
      <c r="Q4" s="71">
        <f>SUM(M4:P4)</f>
        <v>1115357.2680000002</v>
      </c>
    </row>
    <row r="5" spans="1:17" ht="16">
      <c r="B5" s="56"/>
      <c r="C5" s="56" t="s">
        <v>38</v>
      </c>
      <c r="D5" s="57" t="s">
        <v>67</v>
      </c>
      <c r="E5" s="58" t="s">
        <v>382</v>
      </c>
      <c r="F5" s="59">
        <f>((4*1.1*1.1)+(1.1*1.1))*0.2</f>
        <v>1.2100000000000002</v>
      </c>
      <c r="G5" s="60">
        <f>HormG20</f>
        <v>108376.92</v>
      </c>
      <c r="H5" s="61">
        <f t="shared" ref="H5:H15" si="0">ROUND(F5*G5,3)</f>
        <v>131136.073</v>
      </c>
      <c r="J5" s="75">
        <f>F5*$F$4</f>
        <v>2.4200000000000004</v>
      </c>
      <c r="K5" s="67">
        <f>H5*$F$4</f>
        <v>262272.14600000001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v>1</v>
      </c>
      <c r="G6" s="60">
        <v>12000</v>
      </c>
      <c r="H6" s="61">
        <f t="shared" si="0"/>
        <v>12000</v>
      </c>
      <c r="J6" s="75">
        <f t="shared" ref="J6:J17" si="1">F6*$F$4</f>
        <v>2</v>
      </c>
      <c r="K6" s="67">
        <f t="shared" ref="K6:K17" si="2">H6*$F$4</f>
        <v>24000</v>
      </c>
    </row>
    <row r="7" spans="1:17" ht="16">
      <c r="B7" s="56"/>
      <c r="C7" s="56" t="s">
        <v>38</v>
      </c>
      <c r="D7" s="57" t="s">
        <v>396</v>
      </c>
      <c r="E7" s="58" t="s">
        <v>395</v>
      </c>
      <c r="F7" s="59">
        <f>0.617*((2.92*(1.1/0.2)*2)+(2.78*(1.1/0.2)))</f>
        <v>29.251969999999996</v>
      </c>
      <c r="G7" s="60">
        <v>900</v>
      </c>
      <c r="H7" s="61">
        <f>ROUND(F7*G7,3)</f>
        <v>26326.773000000001</v>
      </c>
      <c r="J7" s="75">
        <f t="shared" ref="J7:J8" si="3">F7*$F$4</f>
        <v>58.503939999999993</v>
      </c>
      <c r="K7" s="67">
        <f t="shared" ref="K7:K8" si="4">H7*$F$4</f>
        <v>52653.546000000002</v>
      </c>
    </row>
    <row r="8" spans="1:17" ht="16">
      <c r="B8" s="56"/>
      <c r="C8" s="56" t="s">
        <v>38</v>
      </c>
      <c r="D8" s="57" t="s">
        <v>396</v>
      </c>
      <c r="E8" s="58" t="s">
        <v>397</v>
      </c>
      <c r="F8" s="59">
        <f>1/30*F7</f>
        <v>0.9750656666666665</v>
      </c>
      <c r="G8" s="60">
        <v>1630</v>
      </c>
      <c r="H8" s="61">
        <f>ROUND(F8*G8,3)</f>
        <v>1589.357</v>
      </c>
      <c r="J8" s="75">
        <f t="shared" si="3"/>
        <v>1.950131333333333</v>
      </c>
      <c r="K8" s="67">
        <f t="shared" si="4"/>
        <v>3178.7139999999999</v>
      </c>
    </row>
    <row r="9" spans="1:17" ht="16">
      <c r="B9" s="56"/>
      <c r="C9" s="56" t="s">
        <v>38</v>
      </c>
      <c r="D9" s="57" t="s">
        <v>76</v>
      </c>
      <c r="E9" s="58" t="s">
        <v>476</v>
      </c>
      <c r="F9" s="59">
        <v>1</v>
      </c>
      <c r="G9" s="60">
        <f>129998/1.19</f>
        <v>109242.01680672269</v>
      </c>
      <c r="H9" s="61">
        <f>ROUND(F9*G9,3)</f>
        <v>109242.01700000001</v>
      </c>
      <c r="J9" s="75">
        <f t="shared" si="1"/>
        <v>2</v>
      </c>
      <c r="K9" s="67">
        <f t="shared" si="2"/>
        <v>218484.03400000001</v>
      </c>
    </row>
    <row r="10" spans="1:17" ht="16">
      <c r="B10" s="56"/>
      <c r="C10" s="56" t="s">
        <v>38</v>
      </c>
      <c r="D10" s="57" t="s">
        <v>39</v>
      </c>
      <c r="E10" s="58" t="s">
        <v>390</v>
      </c>
      <c r="F10" s="59">
        <f>1/0.48*((4*1.1*1.1)+(1.1*1.1))</f>
        <v>12.60416666666667</v>
      </c>
      <c r="G10" s="60">
        <v>2400</v>
      </c>
      <c r="H10" s="61">
        <f t="shared" ref="H10:H13" si="5">ROUND(F10*G10,3)</f>
        <v>30250</v>
      </c>
      <c r="J10" s="75">
        <f t="shared" ref="J10:J13" si="6">F10*$F$4</f>
        <v>25.208333333333339</v>
      </c>
      <c r="K10" s="67">
        <f t="shared" ref="K10:K13" si="7">H10*$F$4</f>
        <v>60500</v>
      </c>
    </row>
    <row r="11" spans="1:17" ht="16">
      <c r="B11" s="56"/>
      <c r="C11" s="56" t="s">
        <v>38</v>
      </c>
      <c r="D11" s="57" t="s">
        <v>39</v>
      </c>
      <c r="E11" s="58" t="s">
        <v>391</v>
      </c>
      <c r="F11" s="59">
        <f>1.05*1/(1.22*2.44)*((4*1.1*1.1)+(1.1*1.1))</f>
        <v>2.1340029561945717</v>
      </c>
      <c r="G11" s="60">
        <v>16966</v>
      </c>
      <c r="H11" s="61">
        <f t="shared" si="5"/>
        <v>36205.493999999999</v>
      </c>
      <c r="J11" s="75">
        <f t="shared" si="6"/>
        <v>4.2680059123891434</v>
      </c>
      <c r="K11" s="67">
        <f t="shared" si="7"/>
        <v>72410.987999999998</v>
      </c>
    </row>
    <row r="12" spans="1:17" ht="16">
      <c r="B12" s="56"/>
      <c r="C12" s="56" t="s">
        <v>38</v>
      </c>
      <c r="D12" s="57" t="s">
        <v>75</v>
      </c>
      <c r="E12" s="58" t="s">
        <v>392</v>
      </c>
      <c r="F12" s="59">
        <f>1/4*((4*1.1*1.1)+(1.1*1.1))</f>
        <v>1.5125000000000002</v>
      </c>
      <c r="G12" s="60">
        <v>1184</v>
      </c>
      <c r="H12" s="61">
        <f t="shared" si="5"/>
        <v>1790.8</v>
      </c>
      <c r="J12" s="75">
        <f t="shared" si="6"/>
        <v>3.0250000000000004</v>
      </c>
      <c r="K12" s="67">
        <f t="shared" si="7"/>
        <v>3581.6</v>
      </c>
    </row>
    <row r="13" spans="1:17" ht="16">
      <c r="B13" s="56"/>
      <c r="C13" s="56" t="s">
        <v>38</v>
      </c>
      <c r="D13" s="57" t="s">
        <v>39</v>
      </c>
      <c r="E13" s="58" t="s">
        <v>393</v>
      </c>
      <c r="F13" s="59">
        <f>1/72*((4*1.1*1.1)+(1.1*1.1))</f>
        <v>8.4027777777777785E-2</v>
      </c>
      <c r="G13" s="60">
        <v>39990</v>
      </c>
      <c r="H13" s="61">
        <f t="shared" si="5"/>
        <v>3360.2710000000002</v>
      </c>
      <c r="J13" s="75">
        <f t="shared" si="6"/>
        <v>0.16805555555555557</v>
      </c>
      <c r="K13" s="67">
        <f t="shared" si="7"/>
        <v>6720.5420000000004</v>
      </c>
    </row>
    <row r="14" spans="1:17" ht="16">
      <c r="B14" s="56"/>
      <c r="C14" s="56" t="s">
        <v>40</v>
      </c>
      <c r="D14" s="57" t="s">
        <v>41</v>
      </c>
      <c r="E14" s="58" t="s">
        <v>90</v>
      </c>
      <c r="F14" s="59">
        <v>8</v>
      </c>
      <c r="G14" s="60">
        <f>Maestro</f>
        <v>7250</v>
      </c>
      <c r="H14" s="61">
        <f t="shared" si="0"/>
        <v>58000</v>
      </c>
      <c r="J14" s="75">
        <f t="shared" si="1"/>
        <v>16</v>
      </c>
      <c r="K14" s="67">
        <f t="shared" si="2"/>
        <v>116000</v>
      </c>
    </row>
    <row r="15" spans="1:17" ht="16">
      <c r="B15" s="56"/>
      <c r="C15" s="56" t="s">
        <v>40</v>
      </c>
      <c r="D15" s="57" t="s">
        <v>41</v>
      </c>
      <c r="E15" s="58" t="s">
        <v>68</v>
      </c>
      <c r="F15" s="59">
        <v>16</v>
      </c>
      <c r="G15" s="60">
        <f>Jornal</f>
        <v>5397.2222222222226</v>
      </c>
      <c r="H15" s="61">
        <f t="shared" si="0"/>
        <v>86355.555999999997</v>
      </c>
      <c r="J15" s="75">
        <f t="shared" si="1"/>
        <v>32</v>
      </c>
      <c r="K15" s="67">
        <f t="shared" si="2"/>
        <v>172711.11199999999</v>
      </c>
    </row>
    <row r="16" spans="1:17" ht="16">
      <c r="B16" s="56"/>
      <c r="C16" s="56" t="s">
        <v>54</v>
      </c>
      <c r="D16" s="57" t="s">
        <v>42</v>
      </c>
      <c r="E16" s="58" t="s">
        <v>55</v>
      </c>
      <c r="F16" s="59">
        <v>0.2</v>
      </c>
      <c r="G16" s="60">
        <f>SUM(H14:H15)</f>
        <v>144355.55599999998</v>
      </c>
      <c r="H16" s="61">
        <f>ROUND(F16*G16,3)</f>
        <v>28871.111000000001</v>
      </c>
      <c r="J16" s="75">
        <f t="shared" si="1"/>
        <v>0.4</v>
      </c>
      <c r="K16" s="67">
        <f t="shared" si="2"/>
        <v>57742.222000000002</v>
      </c>
    </row>
    <row r="17" spans="2:11" ht="16">
      <c r="B17" s="56"/>
      <c r="C17" s="56" t="s">
        <v>94</v>
      </c>
      <c r="D17" s="57" t="s">
        <v>75</v>
      </c>
      <c r="E17" s="58" t="s">
        <v>482</v>
      </c>
      <c r="F17" s="59">
        <f>F7</f>
        <v>29.251969999999996</v>
      </c>
      <c r="G17" s="60">
        <f>Enf</f>
        <v>600</v>
      </c>
      <c r="H17" s="61">
        <f>ROUND(F17*G17,3)</f>
        <v>17551.182000000001</v>
      </c>
      <c r="J17" s="75">
        <f t="shared" si="1"/>
        <v>58.503939999999993</v>
      </c>
      <c r="K17" s="67">
        <f t="shared" si="2"/>
        <v>35102.364000000001</v>
      </c>
    </row>
    <row r="18" spans="2:11" ht="16">
      <c r="B18" s="56"/>
      <c r="C18" s="56" t="s">
        <v>54</v>
      </c>
      <c r="D18" s="57" t="s">
        <v>71</v>
      </c>
      <c r="E18" s="58" t="s">
        <v>372</v>
      </c>
      <c r="F18" s="59">
        <v>1</v>
      </c>
      <c r="G18" s="60">
        <f>3500+3500</f>
        <v>7000</v>
      </c>
      <c r="H18" s="61">
        <f>ROUND(F18*G18,3)</f>
        <v>7000</v>
      </c>
      <c r="J18" s="75">
        <f>F18*$F$4</f>
        <v>2</v>
      </c>
      <c r="K18" s="67">
        <f>H18*$F$4</f>
        <v>14000</v>
      </c>
    </row>
    <row r="19" spans="2:11" ht="16">
      <c r="B19" s="56"/>
      <c r="C19" s="56" t="s">
        <v>54</v>
      </c>
      <c r="D19" s="57" t="s">
        <v>71</v>
      </c>
      <c r="E19" s="58" t="s">
        <v>373</v>
      </c>
      <c r="F19" s="59">
        <v>1</v>
      </c>
      <c r="G19" s="60">
        <f>3500+3500</f>
        <v>7000</v>
      </c>
      <c r="H19" s="61">
        <f>ROUND(F19*G19,3)</f>
        <v>7000</v>
      </c>
      <c r="J19" s="75">
        <f>F19*$F$4</f>
        <v>2</v>
      </c>
      <c r="K19" s="67">
        <f>H19*$F$4</f>
        <v>14000</v>
      </c>
    </row>
    <row r="20" spans="2:11" ht="16">
      <c r="B20" s="56"/>
      <c r="C20" s="56" t="s">
        <v>54</v>
      </c>
      <c r="D20" s="57" t="s">
        <v>76</v>
      </c>
      <c r="E20" s="58" t="s">
        <v>368</v>
      </c>
      <c r="F20" s="59">
        <f>1/50</f>
        <v>0.02</v>
      </c>
      <c r="G20" s="60">
        <v>50000</v>
      </c>
      <c r="H20" s="61">
        <f>ROUND(F20*G20,3)</f>
        <v>1000</v>
      </c>
      <c r="J20" s="75">
        <f>F20*$F$4</f>
        <v>0.04</v>
      </c>
      <c r="K20" s="67">
        <f>H20*$F$4</f>
        <v>2000</v>
      </c>
    </row>
    <row r="21" spans="2:11" ht="16">
      <c r="B21" s="62"/>
      <c r="C21" s="62"/>
      <c r="D21" s="63"/>
      <c r="E21" s="64" t="s">
        <v>479</v>
      </c>
      <c r="F21" s="120">
        <f>$F$4</f>
        <v>2</v>
      </c>
      <c r="G21" s="65">
        <f>SUM(H5:H20)</f>
        <v>557678.63400000008</v>
      </c>
      <c r="H21" s="65">
        <f t="shared" ref="H21" si="8">ROUND(F21*G21,3)</f>
        <v>1115357.2679999999</v>
      </c>
      <c r="K21" s="76">
        <f>SUM(K5:K20)</f>
        <v>1115357.2680000002</v>
      </c>
    </row>
    <row r="23" spans="2:11">
      <c r="C23" s="66"/>
    </row>
  </sheetData>
  <dataValidations count="1">
    <dataValidation type="list" allowBlank="1" showErrorMessage="1" sqref="C21 C4" xr:uid="{51D25632-7A42-4064-BDCF-6FFC443E17E5}">
      <formula1>"Capítulo,Partida,Mano de obra,Maquinaria,Material,Otros,Tarea"</formula1>
    </dataValidation>
  </dataValidations>
  <hyperlinks>
    <hyperlink ref="B1" location="'01.- Presupuesto'!A1" display="02.- Presupuesto'!A1" xr:uid="{630DFD93-8D1C-0243-AE00-69D2DD40C562}"/>
  </hyperlinks>
  <pageMargins left="0.7" right="0.7" top="0.75" bottom="0.75" header="0.3" footer="0.3"/>
  <pageSetup orientation="portrait" horizontalDpi="0" verticalDpi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6533-6162-4EAD-8A2D-0DAEB90C1825}">
  <sheetPr>
    <tabColor theme="9" tint="0.59999389629810485"/>
  </sheetPr>
  <dimension ref="A1:Q20"/>
  <sheetViews>
    <sheetView showGridLines="0" zoomScaleNormal="100" workbookViewId="0">
      <selection activeCell="S39" sqref="S39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334</v>
      </c>
      <c r="C4" s="53" t="s">
        <v>36</v>
      </c>
      <c r="D4" s="148" t="str">
        <f>'01.- Presupuesto'!F184</f>
        <v>m</v>
      </c>
      <c r="E4" s="149" t="str">
        <f>'01.- Presupuesto'!C184</f>
        <v>Construcción trinchera eléctrica de hormigón sección interior 700x1130mm</v>
      </c>
      <c r="F4" s="73">
        <f>'01.- Presupuesto'!G184</f>
        <v>21</v>
      </c>
      <c r="G4" s="55">
        <f>G20</f>
        <v>107588.69599999998</v>
      </c>
      <c r="H4" s="55">
        <f>H20</f>
        <v>2259362.6159999999</v>
      </c>
      <c r="J4" s="74" t="s">
        <v>30</v>
      </c>
      <c r="K4" s="74" t="s">
        <v>37</v>
      </c>
      <c r="M4" s="70">
        <f>SUMIF(C5:C24,"Material",K5:K24)</f>
        <v>1322337.996</v>
      </c>
      <c r="N4" s="70">
        <f>SUMIF(C5:C24,"Mano de Obra",K5:K24)</f>
        <v>83575.106999999989</v>
      </c>
      <c r="O4" s="70">
        <f>SUMIF(C5:C24,"Subcontrato",K5:K24)</f>
        <v>158256</v>
      </c>
      <c r="P4" s="70">
        <f>SUMIF(C5:C24,"Ser&amp;Arr",K5:K24)</f>
        <v>695193.51300000004</v>
      </c>
      <c r="Q4" s="71">
        <f>SUM(M4:P4)</f>
        <v>2259362.6160000004</v>
      </c>
    </row>
    <row r="5" spans="1:17" ht="16">
      <c r="B5" s="56"/>
      <c r="C5" s="56" t="s">
        <v>54</v>
      </c>
      <c r="D5" s="57" t="s">
        <v>348</v>
      </c>
      <c r="E5" s="58" t="s">
        <v>353</v>
      </c>
      <c r="F5" s="59">
        <f>(1/20)*0.94*1.25</f>
        <v>5.8749999999999997E-2</v>
      </c>
      <c r="G5" s="60">
        <f>Excavadora</f>
        <v>50000</v>
      </c>
      <c r="H5" s="61">
        <f t="shared" ref="H5:H7" si="0">ROUND(F5*G5,3)</f>
        <v>2937.5</v>
      </c>
      <c r="J5" s="75">
        <f>F5*$F$4</f>
        <v>1.2337499999999999</v>
      </c>
      <c r="K5" s="67">
        <f>H5*$F$4</f>
        <v>61687.5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(1/20)*0.94*1.25</f>
        <v>5.8749999999999997E-2</v>
      </c>
      <c r="G6" s="60">
        <f>Retroexcavadora</f>
        <v>32000</v>
      </c>
      <c r="H6" s="61">
        <f t="shared" si="0"/>
        <v>1880</v>
      </c>
      <c r="J6" s="75">
        <f t="shared" ref="J6:J7" si="1">F6*$F$4</f>
        <v>1.2337499999999999</v>
      </c>
      <c r="K6" s="67">
        <f t="shared" ref="K6:K7" si="2">H6*$F$4</f>
        <v>39480</v>
      </c>
    </row>
    <row r="7" spans="1:17" ht="13.75" customHeight="1">
      <c r="B7" s="56"/>
      <c r="C7" s="56" t="s">
        <v>54</v>
      </c>
      <c r="D7" s="57" t="s">
        <v>348</v>
      </c>
      <c r="E7" s="58" t="s">
        <v>349</v>
      </c>
      <c r="F7" s="59">
        <f>(1/20)*0.94*1.25</f>
        <v>5.8749999999999997E-2</v>
      </c>
      <c r="G7" s="60">
        <f>Tolva</f>
        <v>38000</v>
      </c>
      <c r="H7" s="61">
        <f t="shared" si="0"/>
        <v>2232.5</v>
      </c>
      <c r="J7" s="75">
        <f t="shared" si="1"/>
        <v>1.2337499999999999</v>
      </c>
      <c r="K7" s="67">
        <f t="shared" si="2"/>
        <v>46882.5</v>
      </c>
    </row>
    <row r="8" spans="1:17" ht="16">
      <c r="B8" s="56"/>
      <c r="C8" s="56" t="s">
        <v>54</v>
      </c>
      <c r="D8" s="57" t="s">
        <v>67</v>
      </c>
      <c r="E8" s="58" t="s">
        <v>70</v>
      </c>
      <c r="F8" s="59">
        <f>1.3*0.94*1.25</f>
        <v>1.5274999999999999</v>
      </c>
      <c r="G8" s="60">
        <v>15000</v>
      </c>
      <c r="H8" s="61">
        <f>ROUND(F8*G8,3)</f>
        <v>22912.5</v>
      </c>
      <c r="J8" s="75">
        <f>F8*$F$4</f>
        <v>32.077500000000001</v>
      </c>
      <c r="K8" s="67">
        <f>H8*$F$4</f>
        <v>481162.5</v>
      </c>
    </row>
    <row r="9" spans="1:17" ht="16">
      <c r="B9" s="56"/>
      <c r="C9" s="56" t="s">
        <v>38</v>
      </c>
      <c r="D9" s="57" t="s">
        <v>67</v>
      </c>
      <c r="E9" s="58" t="s">
        <v>382</v>
      </c>
      <c r="F9" s="59">
        <f>1.1*(0.95+1.25*2)*0.12</f>
        <v>0.45540000000000003</v>
      </c>
      <c r="G9" s="60">
        <f>HormG20</f>
        <v>108376.92</v>
      </c>
      <c r="H9" s="61">
        <f t="shared" ref="H9:H12" si="3">ROUND(F9*G9,3)</f>
        <v>49354.849000000002</v>
      </c>
      <c r="J9" s="75">
        <f t="shared" ref="J9:J19" si="4">F9*$F$4</f>
        <v>9.5634000000000015</v>
      </c>
      <c r="K9" s="67">
        <f t="shared" ref="K9:K19" si="5">H9*$F$4</f>
        <v>1036451.829</v>
      </c>
    </row>
    <row r="10" spans="1:17" ht="16">
      <c r="B10" s="56"/>
      <c r="C10" s="56" t="s">
        <v>38</v>
      </c>
      <c r="D10" s="57" t="s">
        <v>67</v>
      </c>
      <c r="E10" s="58" t="s">
        <v>371</v>
      </c>
      <c r="F10" s="59">
        <f>0.1*(0.95+1.25*2)*0.12</f>
        <v>4.1399999999999999E-2</v>
      </c>
      <c r="G10" s="60">
        <v>12000</v>
      </c>
      <c r="H10" s="61">
        <f t="shared" si="3"/>
        <v>496.8</v>
      </c>
      <c r="J10" s="75">
        <f t="shared" si="4"/>
        <v>0.86939999999999995</v>
      </c>
      <c r="K10" s="67">
        <f t="shared" si="5"/>
        <v>10432.800000000001</v>
      </c>
    </row>
    <row r="11" spans="1:17" ht="16">
      <c r="B11" s="56"/>
      <c r="C11" s="56" t="s">
        <v>40</v>
      </c>
      <c r="D11" s="57" t="s">
        <v>41</v>
      </c>
      <c r="E11" s="58" t="s">
        <v>90</v>
      </c>
      <c r="F11" s="59">
        <f>1/3*(0.95+1.25*2)*0.12</f>
        <v>0.13799999999999998</v>
      </c>
      <c r="G11" s="60">
        <f>Maestro</f>
        <v>7250</v>
      </c>
      <c r="H11" s="61">
        <f t="shared" si="3"/>
        <v>1000.5</v>
      </c>
      <c r="J11" s="75">
        <f t="shared" si="4"/>
        <v>2.8979999999999997</v>
      </c>
      <c r="K11" s="67">
        <f t="shared" si="5"/>
        <v>21010.5</v>
      </c>
    </row>
    <row r="12" spans="1:17" ht="16">
      <c r="B12" s="56"/>
      <c r="C12" s="56" t="s">
        <v>40</v>
      </c>
      <c r="D12" s="57" t="s">
        <v>41</v>
      </c>
      <c r="E12" s="58" t="s">
        <v>68</v>
      </c>
      <c r="F12" s="59">
        <f>4*(1/3)*(0.95+1.25*2)*0.12</f>
        <v>0.55199999999999994</v>
      </c>
      <c r="G12" s="60">
        <f>Jornal</f>
        <v>5397.2222222222226</v>
      </c>
      <c r="H12" s="61">
        <f t="shared" si="3"/>
        <v>2979.2669999999998</v>
      </c>
      <c r="J12" s="75">
        <f t="shared" si="4"/>
        <v>11.591999999999999</v>
      </c>
      <c r="K12" s="67">
        <f t="shared" si="5"/>
        <v>62564.606999999996</v>
      </c>
    </row>
    <row r="13" spans="1:17" ht="16">
      <c r="B13" s="56"/>
      <c r="C13" s="56" t="s">
        <v>54</v>
      </c>
      <c r="D13" s="57" t="s">
        <v>42</v>
      </c>
      <c r="E13" s="58" t="s">
        <v>55</v>
      </c>
      <c r="F13" s="59">
        <v>0.2</v>
      </c>
      <c r="G13" s="60">
        <f>SUM(H11:H12)</f>
        <v>3979.7669999999998</v>
      </c>
      <c r="H13" s="61">
        <f>ROUND(F13*G13,3)</f>
        <v>795.95299999999997</v>
      </c>
      <c r="J13" s="75">
        <f t="shared" si="4"/>
        <v>4.2</v>
      </c>
      <c r="K13" s="67">
        <f t="shared" si="5"/>
        <v>16715.012999999999</v>
      </c>
    </row>
    <row r="14" spans="1:17" ht="13.75" customHeight="1">
      <c r="B14" s="56"/>
      <c r="C14" s="56" t="s">
        <v>54</v>
      </c>
      <c r="D14" s="57" t="s">
        <v>71</v>
      </c>
      <c r="E14" s="58" t="s">
        <v>372</v>
      </c>
      <c r="F14" s="59">
        <f>1/3*(0.95+1.25*2)*0.12</f>
        <v>0.13799999999999998</v>
      </c>
      <c r="G14" s="60">
        <f>3500+3500</f>
        <v>7000</v>
      </c>
      <c r="H14" s="61">
        <f>ROUND(F14*G14,3)</f>
        <v>966</v>
      </c>
      <c r="J14" s="75">
        <f t="shared" si="4"/>
        <v>2.8979999999999997</v>
      </c>
      <c r="K14" s="67">
        <f t="shared" si="5"/>
        <v>20286</v>
      </c>
    </row>
    <row r="15" spans="1:17" ht="13.75" customHeight="1">
      <c r="B15" s="56"/>
      <c r="C15" s="56" t="s">
        <v>54</v>
      </c>
      <c r="D15" s="57" t="s">
        <v>71</v>
      </c>
      <c r="E15" s="58" t="s">
        <v>373</v>
      </c>
      <c r="F15" s="59">
        <f>1/3*(0.95+1.25*2)*0.12</f>
        <v>0.13799999999999998</v>
      </c>
      <c r="G15" s="60">
        <f>3500+3500</f>
        <v>7000</v>
      </c>
      <c r="H15" s="61">
        <f>ROUND(F15*G15,3)</f>
        <v>966</v>
      </c>
      <c r="J15" s="75">
        <f t="shared" si="4"/>
        <v>2.8979999999999997</v>
      </c>
      <c r="K15" s="67">
        <f t="shared" si="5"/>
        <v>20286</v>
      </c>
    </row>
    <row r="16" spans="1:17" ht="13.75" customHeight="1">
      <c r="B16" s="56"/>
      <c r="C16" s="56" t="s">
        <v>54</v>
      </c>
      <c r="D16" s="57" t="s">
        <v>76</v>
      </c>
      <c r="E16" s="58" t="s">
        <v>368</v>
      </c>
      <c r="F16" s="59">
        <f>1/50*(0.95+1.25*2)*0.12</f>
        <v>8.2800000000000009E-3</v>
      </c>
      <c r="G16" s="60">
        <v>50000</v>
      </c>
      <c r="H16" s="61">
        <f>ROUND(F16*G16,3)</f>
        <v>414</v>
      </c>
      <c r="J16" s="75">
        <f t="shared" si="4"/>
        <v>0.17388000000000001</v>
      </c>
      <c r="K16" s="67">
        <f t="shared" si="5"/>
        <v>8694</v>
      </c>
    </row>
    <row r="17" spans="2:11" ht="13.75" customHeight="1">
      <c r="B17" s="56"/>
      <c r="C17" s="56" t="s">
        <v>38</v>
      </c>
      <c r="D17" s="57" t="s">
        <v>396</v>
      </c>
      <c r="E17" s="58" t="s">
        <v>395</v>
      </c>
      <c r="F17" s="59">
        <f>1.1*0.785*16</f>
        <v>13.816000000000003</v>
      </c>
      <c r="G17" s="60">
        <v>900</v>
      </c>
      <c r="H17" s="61">
        <f t="shared" ref="H17:H19" si="6">ROUND(F17*G17,3)</f>
        <v>12434.4</v>
      </c>
      <c r="J17" s="75">
        <f t="shared" si="4"/>
        <v>290.13600000000008</v>
      </c>
      <c r="K17" s="67">
        <f t="shared" si="5"/>
        <v>261122.4</v>
      </c>
    </row>
    <row r="18" spans="2:11" ht="13.75" customHeight="1">
      <c r="B18" s="56"/>
      <c r="C18" s="56" t="s">
        <v>38</v>
      </c>
      <c r="D18" s="57" t="s">
        <v>396</v>
      </c>
      <c r="E18" s="58" t="s">
        <v>397</v>
      </c>
      <c r="F18" s="59">
        <f>1/30*0.785*16</f>
        <v>0.41866666666666669</v>
      </c>
      <c r="G18" s="60">
        <v>1630</v>
      </c>
      <c r="H18" s="61">
        <f t="shared" si="6"/>
        <v>682.42700000000002</v>
      </c>
      <c r="J18" s="75">
        <f t="shared" si="4"/>
        <v>8.7919999999999998</v>
      </c>
      <c r="K18" s="67">
        <f t="shared" si="5"/>
        <v>14330.967000000001</v>
      </c>
    </row>
    <row r="19" spans="2:11" ht="13.75" customHeight="1">
      <c r="B19" s="56"/>
      <c r="C19" s="56" t="s">
        <v>94</v>
      </c>
      <c r="D19" s="57" t="s">
        <v>396</v>
      </c>
      <c r="E19" s="58" t="s">
        <v>482</v>
      </c>
      <c r="F19" s="59">
        <f>1*0.785*16</f>
        <v>12.56</v>
      </c>
      <c r="G19" s="60">
        <f>Enf</f>
        <v>600</v>
      </c>
      <c r="H19" s="61">
        <f t="shared" si="6"/>
        <v>7536</v>
      </c>
      <c r="J19" s="75">
        <f t="shared" si="4"/>
        <v>263.76</v>
      </c>
      <c r="K19" s="67">
        <f t="shared" si="5"/>
        <v>158256</v>
      </c>
    </row>
    <row r="20" spans="2:11" ht="16">
      <c r="B20" s="62"/>
      <c r="C20" s="62"/>
      <c r="D20" s="63"/>
      <c r="E20" s="64" t="s">
        <v>545</v>
      </c>
      <c r="F20" s="120">
        <f>$F$4</f>
        <v>21</v>
      </c>
      <c r="G20" s="65">
        <f>SUM(H5:H19)</f>
        <v>107588.69599999998</v>
      </c>
      <c r="H20" s="65">
        <f t="shared" ref="H20" si="7">ROUND(F20*G20,3)</f>
        <v>2259362.6159999999</v>
      </c>
      <c r="K20" s="76">
        <f>SUM(K5:K19)</f>
        <v>2259362.6159999999</v>
      </c>
    </row>
  </sheetData>
  <dataValidations count="1">
    <dataValidation type="list" allowBlank="1" showErrorMessage="1" sqref="C20 C4" xr:uid="{F56FB142-7978-4676-A700-FE1EA4355A0E}">
      <formula1>"Capítulo,Partida,Mano de obra,Maquinaria,Material,Otros,Tarea"</formula1>
    </dataValidation>
  </dataValidations>
  <hyperlinks>
    <hyperlink ref="B1" location="'01.- Presupuesto'!A1" display="02.- Presupuesto'!A1" xr:uid="{6103CF0E-1778-D14C-ABF6-339919ED70BA}"/>
  </hyperlinks>
  <pageMargins left="0.7" right="0.7" top="0.75" bottom="0.75" header="0.3" footer="0.3"/>
  <pageSetup orientation="portrait" horizontalDpi="0" verticalDpi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0721-CEF2-4A6E-B2CF-ABE28DA064F3}">
  <sheetPr>
    <tabColor theme="9" tint="0.59999389629810485"/>
  </sheetPr>
  <dimension ref="A1:Q22"/>
  <sheetViews>
    <sheetView showGridLines="0" zoomScaleNormal="100" workbookViewId="0">
      <selection activeCell="S39" sqref="S39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335</v>
      </c>
      <c r="C4" s="53" t="s">
        <v>36</v>
      </c>
      <c r="D4" s="148" t="str">
        <f>'01.- Presupuesto'!F185</f>
        <v>m</v>
      </c>
      <c r="E4" s="149" t="str">
        <f>'01.- Presupuesto'!C185</f>
        <v>Construcción trinchera eléctrica de hormigón sección interior 400x610mm</v>
      </c>
      <c r="F4" s="73">
        <f>'01.- Presupuesto'!G185</f>
        <v>14</v>
      </c>
      <c r="G4" s="55">
        <f>G20</f>
        <v>51422.208999999995</v>
      </c>
      <c r="H4" s="55">
        <f>H20</f>
        <v>719910.92599999998</v>
      </c>
      <c r="J4" s="74" t="s">
        <v>30</v>
      </c>
      <c r="K4" s="74" t="s">
        <v>37</v>
      </c>
      <c r="M4" s="70">
        <f>SUMIF(C5:C32,"Material",K5:K32)</f>
        <v>464043.42599999998</v>
      </c>
      <c r="N4" s="70">
        <f>SUMIF(C5:C32,"Mano de Obra",K5:K32)</f>
        <v>29715.588000000003</v>
      </c>
      <c r="O4" s="70">
        <f>SUMIF(C5:C32,"Subcontrato",K5:K32)</f>
        <v>52752</v>
      </c>
      <c r="P4" s="70">
        <f>SUMIF(C5:C32,"Ser&amp;Arr",K5:K32)</f>
        <v>173399.91199999998</v>
      </c>
      <c r="Q4" s="71">
        <f>SUM(M4:P4)</f>
        <v>719910.92599999998</v>
      </c>
    </row>
    <row r="5" spans="1:17" ht="16">
      <c r="B5" s="56"/>
      <c r="C5" s="56" t="s">
        <v>54</v>
      </c>
      <c r="D5" s="57" t="s">
        <v>348</v>
      </c>
      <c r="E5" s="58" t="s">
        <v>353</v>
      </c>
      <c r="F5" s="59">
        <f>(1/20)*0.84*0.5</f>
        <v>2.1000000000000001E-2</v>
      </c>
      <c r="G5" s="60">
        <f>Excavadora</f>
        <v>50000</v>
      </c>
      <c r="H5" s="61">
        <f t="shared" ref="H5:H7" si="0">ROUND(F5*G5,3)</f>
        <v>1050</v>
      </c>
      <c r="J5" s="75">
        <f>F5*$F$4</f>
        <v>0.29400000000000004</v>
      </c>
      <c r="K5" s="67">
        <f>H5*$F$4</f>
        <v>14700</v>
      </c>
    </row>
    <row r="6" spans="1:17" ht="16">
      <c r="B6" s="56"/>
      <c r="C6" s="56" t="s">
        <v>54</v>
      </c>
      <c r="D6" s="57" t="s">
        <v>348</v>
      </c>
      <c r="E6" s="58" t="s">
        <v>350</v>
      </c>
      <c r="F6" s="59">
        <f>(1/20)*0.84*0.5</f>
        <v>2.1000000000000001E-2</v>
      </c>
      <c r="G6" s="60">
        <f>Retroexcavadora</f>
        <v>32000</v>
      </c>
      <c r="H6" s="61">
        <f t="shared" si="0"/>
        <v>672</v>
      </c>
      <c r="J6" s="75">
        <f t="shared" ref="J6:J18" si="1">F6*$F$4</f>
        <v>0.29400000000000004</v>
      </c>
      <c r="K6" s="67">
        <f t="shared" ref="K6:K18" si="2">H6*$F$4</f>
        <v>9408</v>
      </c>
    </row>
    <row r="7" spans="1:17" ht="16">
      <c r="B7" s="56"/>
      <c r="C7" s="56" t="s">
        <v>54</v>
      </c>
      <c r="D7" s="57" t="s">
        <v>348</v>
      </c>
      <c r="E7" s="58" t="s">
        <v>349</v>
      </c>
      <c r="F7" s="59">
        <f>(1/20)*0.84*0.5</f>
        <v>2.1000000000000001E-2</v>
      </c>
      <c r="G7" s="60">
        <f>Tolva</f>
        <v>38000</v>
      </c>
      <c r="H7" s="61">
        <f t="shared" si="0"/>
        <v>798</v>
      </c>
      <c r="J7" s="75">
        <f t="shared" si="1"/>
        <v>0.29400000000000004</v>
      </c>
      <c r="K7" s="67">
        <f t="shared" si="2"/>
        <v>11172</v>
      </c>
    </row>
    <row r="8" spans="1:17" ht="16">
      <c r="B8" s="56"/>
      <c r="C8" s="56" t="s">
        <v>54</v>
      </c>
      <c r="D8" s="57" t="s">
        <v>67</v>
      </c>
      <c r="E8" s="58" t="s">
        <v>70</v>
      </c>
      <c r="F8" s="59">
        <f>1.3*0.84*0.5</f>
        <v>0.54600000000000004</v>
      </c>
      <c r="G8" s="60">
        <v>15000</v>
      </c>
      <c r="H8" s="61">
        <f>ROUND(F8*G8,3)</f>
        <v>8190</v>
      </c>
      <c r="J8" s="75">
        <f t="shared" si="1"/>
        <v>7.6440000000000001</v>
      </c>
      <c r="K8" s="67">
        <f t="shared" si="2"/>
        <v>114660</v>
      </c>
    </row>
    <row r="9" spans="1:17" ht="16">
      <c r="B9" s="56"/>
      <c r="C9" s="56" t="s">
        <v>38</v>
      </c>
      <c r="D9" s="57" t="s">
        <v>67</v>
      </c>
      <c r="E9" s="58" t="s">
        <v>382</v>
      </c>
      <c r="F9" s="59">
        <f>1.1*(0.84+0.5*2)*0.12</f>
        <v>0.24287999999999998</v>
      </c>
      <c r="G9" s="60">
        <f>HormG20</f>
        <v>108376.92</v>
      </c>
      <c r="H9" s="61">
        <f t="shared" ref="H9:H12" si="3">ROUND(F9*G9,3)</f>
        <v>26322.585999999999</v>
      </c>
      <c r="J9" s="75">
        <f t="shared" ref="J9:J16" si="4">F9*$F$4</f>
        <v>3.4003199999999998</v>
      </c>
      <c r="K9" s="67">
        <f t="shared" ref="K9:K16" si="5">H9*$F$4</f>
        <v>368516.20399999997</v>
      </c>
    </row>
    <row r="10" spans="1:17" ht="16">
      <c r="B10" s="56"/>
      <c r="C10" s="56" t="s">
        <v>38</v>
      </c>
      <c r="D10" s="57" t="s">
        <v>67</v>
      </c>
      <c r="E10" s="58" t="s">
        <v>371</v>
      </c>
      <c r="F10" s="59">
        <f>0.1*(0.84+0.5*2)*0.12</f>
        <v>2.2079999999999999E-2</v>
      </c>
      <c r="G10" s="60">
        <v>12000</v>
      </c>
      <c r="H10" s="61">
        <f t="shared" si="3"/>
        <v>264.95999999999998</v>
      </c>
      <c r="J10" s="75">
        <f t="shared" si="4"/>
        <v>0.30912000000000001</v>
      </c>
      <c r="K10" s="67">
        <f t="shared" si="5"/>
        <v>3709.4399999999996</v>
      </c>
    </row>
    <row r="11" spans="1:17" ht="16">
      <c r="B11" s="56"/>
      <c r="C11" s="56" t="s">
        <v>40</v>
      </c>
      <c r="D11" s="57" t="s">
        <v>41</v>
      </c>
      <c r="E11" s="58" t="s">
        <v>90</v>
      </c>
      <c r="F11" s="59">
        <f>1/3*(0.84+0.5*2)*0.12</f>
        <v>7.3599999999999985E-2</v>
      </c>
      <c r="G11" s="60">
        <f>Maestro</f>
        <v>7250</v>
      </c>
      <c r="H11" s="61">
        <f t="shared" si="3"/>
        <v>533.6</v>
      </c>
      <c r="J11" s="75">
        <f t="shared" si="4"/>
        <v>1.0303999999999998</v>
      </c>
      <c r="K11" s="67">
        <f t="shared" si="5"/>
        <v>7470.4000000000005</v>
      </c>
    </row>
    <row r="12" spans="1:17" ht="16">
      <c r="B12" s="56"/>
      <c r="C12" s="56" t="s">
        <v>40</v>
      </c>
      <c r="D12" s="57" t="s">
        <v>41</v>
      </c>
      <c r="E12" s="58" t="s">
        <v>68</v>
      </c>
      <c r="F12" s="59">
        <f>4*(1/3)*(0.84+0.5*2)*0.12</f>
        <v>0.29439999999999994</v>
      </c>
      <c r="G12" s="60">
        <f>Jornal</f>
        <v>5397.2222222222226</v>
      </c>
      <c r="H12" s="61">
        <f t="shared" si="3"/>
        <v>1588.942</v>
      </c>
      <c r="J12" s="75">
        <f t="shared" si="4"/>
        <v>4.121599999999999</v>
      </c>
      <c r="K12" s="67">
        <f t="shared" si="5"/>
        <v>22245.188000000002</v>
      </c>
    </row>
    <row r="13" spans="1:17" ht="16">
      <c r="B13" s="56"/>
      <c r="C13" s="56" t="s">
        <v>54</v>
      </c>
      <c r="D13" s="57" t="s">
        <v>42</v>
      </c>
      <c r="E13" s="58" t="s">
        <v>55</v>
      </c>
      <c r="F13" s="59">
        <v>0.2</v>
      </c>
      <c r="G13" s="60">
        <f>SUM(H11:H12)</f>
        <v>2122.5419999999999</v>
      </c>
      <c r="H13" s="61">
        <f>ROUND(F13*G13,3)</f>
        <v>424.50799999999998</v>
      </c>
      <c r="J13" s="75">
        <f t="shared" si="4"/>
        <v>2.8000000000000003</v>
      </c>
      <c r="K13" s="67">
        <f t="shared" si="5"/>
        <v>5943.1120000000001</v>
      </c>
    </row>
    <row r="14" spans="1:17" ht="16">
      <c r="B14" s="56"/>
      <c r="C14" s="56" t="s">
        <v>54</v>
      </c>
      <c r="D14" s="57" t="s">
        <v>71</v>
      </c>
      <c r="E14" s="58" t="s">
        <v>372</v>
      </c>
      <c r="F14" s="59">
        <f>1/3*(0.84+0.5*2)*0.12</f>
        <v>7.3599999999999985E-2</v>
      </c>
      <c r="G14" s="60">
        <f>3500+3500</f>
        <v>7000</v>
      </c>
      <c r="H14" s="61">
        <f>ROUND(F14*G14,3)</f>
        <v>515.20000000000005</v>
      </c>
      <c r="J14" s="75">
        <f t="shared" si="4"/>
        <v>1.0303999999999998</v>
      </c>
      <c r="K14" s="67">
        <f t="shared" si="5"/>
        <v>7212.8000000000011</v>
      </c>
    </row>
    <row r="15" spans="1:17" ht="16">
      <c r="B15" s="56"/>
      <c r="C15" s="56" t="s">
        <v>54</v>
      </c>
      <c r="D15" s="57" t="s">
        <v>71</v>
      </c>
      <c r="E15" s="58" t="s">
        <v>373</v>
      </c>
      <c r="F15" s="59">
        <f>1/3*(0.84+0.5*2)*0.12</f>
        <v>7.3599999999999985E-2</v>
      </c>
      <c r="G15" s="60">
        <f>3500+3500</f>
        <v>7000</v>
      </c>
      <c r="H15" s="61">
        <f>ROUND(F15*G15,3)</f>
        <v>515.20000000000005</v>
      </c>
      <c r="J15" s="75">
        <f t="shared" si="4"/>
        <v>1.0303999999999998</v>
      </c>
      <c r="K15" s="67">
        <f t="shared" si="5"/>
        <v>7212.8000000000011</v>
      </c>
    </row>
    <row r="16" spans="1:17" ht="16">
      <c r="B16" s="56"/>
      <c r="C16" s="56" t="s">
        <v>54</v>
      </c>
      <c r="D16" s="57" t="s">
        <v>76</v>
      </c>
      <c r="E16" s="58" t="s">
        <v>368</v>
      </c>
      <c r="F16" s="59">
        <f>1/50*(0.84+0.5*2)*0.12</f>
        <v>4.4159999999999998E-3</v>
      </c>
      <c r="G16" s="60">
        <v>50000</v>
      </c>
      <c r="H16" s="61">
        <f>ROUND(F16*G16,3)</f>
        <v>220.8</v>
      </c>
      <c r="J16" s="75">
        <f t="shared" si="4"/>
        <v>6.1823999999999997E-2</v>
      </c>
      <c r="K16" s="67">
        <f t="shared" si="5"/>
        <v>3091.2000000000003</v>
      </c>
    </row>
    <row r="17" spans="2:11" ht="16">
      <c r="B17" s="56"/>
      <c r="C17" s="56" t="s">
        <v>38</v>
      </c>
      <c r="D17" s="57" t="s">
        <v>396</v>
      </c>
      <c r="E17" s="58" t="s">
        <v>395</v>
      </c>
      <c r="F17" s="59">
        <f>1.1*0.785*8</f>
        <v>6.9080000000000013</v>
      </c>
      <c r="G17" s="60">
        <v>900</v>
      </c>
      <c r="H17" s="61">
        <f t="shared" ref="H17:H19" si="6">ROUND(F17*G17,3)</f>
        <v>6217.2</v>
      </c>
      <c r="J17" s="75">
        <f t="shared" si="1"/>
        <v>96.712000000000018</v>
      </c>
      <c r="K17" s="67">
        <f t="shared" si="2"/>
        <v>87040.8</v>
      </c>
    </row>
    <row r="18" spans="2:11" ht="16">
      <c r="B18" s="56"/>
      <c r="C18" s="56" t="s">
        <v>38</v>
      </c>
      <c r="D18" s="57" t="s">
        <v>396</v>
      </c>
      <c r="E18" s="58" t="s">
        <v>397</v>
      </c>
      <c r="F18" s="59">
        <f>1/30*0.785*8</f>
        <v>0.20933333333333334</v>
      </c>
      <c r="G18" s="60">
        <v>1630</v>
      </c>
      <c r="H18" s="61">
        <f t="shared" si="6"/>
        <v>341.21300000000002</v>
      </c>
      <c r="J18" s="75">
        <f t="shared" si="1"/>
        <v>2.9306666666666668</v>
      </c>
      <c r="K18" s="67">
        <f t="shared" si="2"/>
        <v>4776.982</v>
      </c>
    </row>
    <row r="19" spans="2:11" ht="16">
      <c r="B19" s="56"/>
      <c r="C19" s="56" t="s">
        <v>94</v>
      </c>
      <c r="D19" s="57" t="s">
        <v>396</v>
      </c>
      <c r="E19" s="58" t="s">
        <v>482</v>
      </c>
      <c r="F19" s="59">
        <f>1*0.785*8</f>
        <v>6.28</v>
      </c>
      <c r="G19" s="60">
        <f>Enf</f>
        <v>600</v>
      </c>
      <c r="H19" s="61">
        <f t="shared" si="6"/>
        <v>3768</v>
      </c>
      <c r="J19" s="75">
        <f>F19*$F$4</f>
        <v>87.92</v>
      </c>
      <c r="K19" s="67">
        <f>H19*$F$4</f>
        <v>52752</v>
      </c>
    </row>
    <row r="20" spans="2:11" ht="16">
      <c r="B20" s="62"/>
      <c r="C20" s="62"/>
      <c r="D20" s="63"/>
      <c r="E20" s="64" t="s">
        <v>546</v>
      </c>
      <c r="F20" s="120">
        <f>$F$4</f>
        <v>14</v>
      </c>
      <c r="G20" s="65">
        <f>SUM(H5:H19)</f>
        <v>51422.208999999995</v>
      </c>
      <c r="H20" s="65">
        <f t="shared" ref="H20" si="7">ROUND(F20*G20,3)</f>
        <v>719910.92599999998</v>
      </c>
      <c r="K20" s="76">
        <f>SUM(K5:K19)</f>
        <v>719910.92599999998</v>
      </c>
    </row>
    <row r="22" spans="2:11">
      <c r="C22" s="66"/>
    </row>
  </sheetData>
  <dataValidations count="1">
    <dataValidation type="list" allowBlank="1" showErrorMessage="1" sqref="C20 C4" xr:uid="{77D0D6D2-9C43-4C63-99A5-57C2B4DD2902}">
      <formula1>"Capítulo,Partida,Mano de obra,Maquinaria,Material,Otros,Tarea"</formula1>
    </dataValidation>
  </dataValidations>
  <hyperlinks>
    <hyperlink ref="B1" location="'01.- Presupuesto'!A1" display="02.- Presupuesto'!A1" xr:uid="{C00D6F26-2C4C-4944-846B-782596149CF7}"/>
  </hyperlinks>
  <pageMargins left="0.7" right="0.7" top="0.75" bottom="0.75" header="0.3" footer="0.3"/>
  <pageSetup orientation="portrait" horizontalDpi="0" verticalDpi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4EF0-416B-4EDC-8B22-0581F992D329}">
  <sheetPr>
    <tabColor theme="9" tint="0.59999389629810485"/>
  </sheetPr>
  <dimension ref="A1:Q16"/>
  <sheetViews>
    <sheetView showGridLines="0" zoomScaleNormal="100" workbookViewId="0">
      <selection activeCell="S39" sqref="S39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342</v>
      </c>
      <c r="C4" s="53" t="s">
        <v>36</v>
      </c>
      <c r="D4" s="148" t="str">
        <f>'01.- Presupuesto'!F189</f>
        <v>un</v>
      </c>
      <c r="E4" s="149" t="str">
        <f>'01.- Presupuesto'!C189</f>
        <v>Sum. y construcción muros cortafuego, altura 3,3 y largo 4,0 m albañilería bloques prefabricado</v>
      </c>
      <c r="F4" s="73">
        <f>'01.- Presupuesto'!G189</f>
        <v>5</v>
      </c>
      <c r="G4" s="55">
        <f>G14</f>
        <v>550083.95200000005</v>
      </c>
      <c r="H4" s="55">
        <f>H14</f>
        <v>2750419.76</v>
      </c>
      <c r="J4" s="74" t="s">
        <v>30</v>
      </c>
      <c r="K4" s="74" t="s">
        <v>37</v>
      </c>
      <c r="M4" s="70">
        <f>SUMIF(C5:C26,"Material",K5:K26)</f>
        <v>2179409.7599999998</v>
      </c>
      <c r="N4" s="70">
        <f>SUMIF(C5:C26,"Mano de Obra",K5:K26)</f>
        <v>475841.66499999998</v>
      </c>
      <c r="O4" s="70">
        <f>SUMIF(C5:C26,"Subcontrato",K5:K26)</f>
        <v>0</v>
      </c>
      <c r="P4" s="70">
        <f>SUMIF(C5:C26,"Ser&amp;Arr",K5:K26)</f>
        <v>95168.335000000006</v>
      </c>
      <c r="Q4" s="71">
        <f>SUM(M4:P4)</f>
        <v>2750419.76</v>
      </c>
    </row>
    <row r="5" spans="1:17" ht="16">
      <c r="B5" s="56"/>
      <c r="C5" s="56" t="s">
        <v>38</v>
      </c>
      <c r="D5" s="57" t="s">
        <v>39</v>
      </c>
      <c r="E5" s="58" t="s">
        <v>553</v>
      </c>
      <c r="F5" s="59">
        <f>1*(3.3*4)</f>
        <v>13.2</v>
      </c>
      <c r="G5" s="60">
        <v>26850</v>
      </c>
      <c r="H5" s="61">
        <f t="shared" ref="H5:H14" si="0">ROUND(F5*G5,3)</f>
        <v>354420</v>
      </c>
      <c r="J5" s="75">
        <f>F5*$F$4</f>
        <v>66</v>
      </c>
      <c r="K5" s="67">
        <f>H5*$F$4</f>
        <v>1772100</v>
      </c>
    </row>
    <row r="6" spans="1:17" ht="16">
      <c r="B6" s="56"/>
      <c r="C6" s="56" t="s">
        <v>38</v>
      </c>
      <c r="D6" s="57" t="s">
        <v>39</v>
      </c>
      <c r="E6" s="58" t="s">
        <v>554</v>
      </c>
      <c r="F6" s="59">
        <f>0.24*(3.3*4)</f>
        <v>3.1679999999999997</v>
      </c>
      <c r="G6" s="60">
        <v>6000</v>
      </c>
      <c r="H6" s="61">
        <f t="shared" si="0"/>
        <v>19008</v>
      </c>
      <c r="J6" s="75">
        <f t="shared" ref="J6:J12" si="1">F6*$F$4</f>
        <v>15.839999999999998</v>
      </c>
      <c r="K6" s="67">
        <f t="shared" ref="K6:K12" si="2">H6*$F$4</f>
        <v>95040</v>
      </c>
    </row>
    <row r="7" spans="1:17" ht="16">
      <c r="B7" s="56"/>
      <c r="C7" s="56" t="s">
        <v>38</v>
      </c>
      <c r="D7" s="57" t="s">
        <v>39</v>
      </c>
      <c r="E7" s="58" t="s">
        <v>555</v>
      </c>
      <c r="F7" s="59">
        <f>0.021*(3.3*4)</f>
        <v>0.2772</v>
      </c>
      <c r="G7" s="60">
        <v>11160</v>
      </c>
      <c r="H7" s="61">
        <f t="shared" si="0"/>
        <v>3093.5520000000001</v>
      </c>
      <c r="J7" s="75">
        <f t="shared" si="1"/>
        <v>1.3860000000000001</v>
      </c>
      <c r="K7" s="67">
        <f t="shared" si="2"/>
        <v>15467.76</v>
      </c>
    </row>
    <row r="8" spans="1:17" ht="16">
      <c r="B8" s="56"/>
      <c r="C8" s="56" t="s">
        <v>38</v>
      </c>
      <c r="D8" s="57" t="s">
        <v>39</v>
      </c>
      <c r="E8" s="58" t="s">
        <v>556</v>
      </c>
      <c r="F8" s="59">
        <f>0.15*(3.3*4)</f>
        <v>1.9799999999999998</v>
      </c>
      <c r="G8" s="60">
        <v>7780</v>
      </c>
      <c r="H8" s="61">
        <f t="shared" ref="H8:H10" si="3">ROUND(F8*G8,3)</f>
        <v>15404.4</v>
      </c>
      <c r="J8" s="75">
        <f t="shared" ref="J8:J10" si="4">F8*$F$4</f>
        <v>9.8999999999999986</v>
      </c>
      <c r="K8" s="67">
        <f t="shared" ref="K8:K10" si="5">H8*$F$4</f>
        <v>77022</v>
      </c>
    </row>
    <row r="9" spans="1:17" ht="16">
      <c r="B9" s="56"/>
      <c r="C9" s="56" t="s">
        <v>38</v>
      </c>
      <c r="D9" s="57" t="s">
        <v>39</v>
      </c>
      <c r="E9" s="58" t="s">
        <v>557</v>
      </c>
      <c r="F9" s="59">
        <f>3*(3.3*4)</f>
        <v>39.599999999999994</v>
      </c>
      <c r="G9" s="60">
        <v>510</v>
      </c>
      <c r="H9" s="61">
        <f t="shared" si="3"/>
        <v>20196</v>
      </c>
      <c r="J9" s="75">
        <f t="shared" si="4"/>
        <v>197.99999999999997</v>
      </c>
      <c r="K9" s="67">
        <f t="shared" si="5"/>
        <v>100980</v>
      </c>
    </row>
    <row r="10" spans="1:17" ht="16">
      <c r="B10" s="56"/>
      <c r="C10" s="56" t="s">
        <v>38</v>
      </c>
      <c r="D10" s="57" t="s">
        <v>39</v>
      </c>
      <c r="E10" s="58" t="s">
        <v>558</v>
      </c>
      <c r="F10" s="59">
        <f>1*(3.3*4)</f>
        <v>13.2</v>
      </c>
      <c r="G10" s="60">
        <v>1800</v>
      </c>
      <c r="H10" s="61">
        <f t="shared" si="3"/>
        <v>23760</v>
      </c>
      <c r="J10" s="75">
        <f t="shared" si="4"/>
        <v>66</v>
      </c>
      <c r="K10" s="67">
        <f t="shared" si="5"/>
        <v>118800</v>
      </c>
    </row>
    <row r="11" spans="1:17" ht="16">
      <c r="B11" s="56"/>
      <c r="C11" s="56" t="s">
        <v>40</v>
      </c>
      <c r="D11" s="57" t="s">
        <v>41</v>
      </c>
      <c r="E11" s="58" t="s">
        <v>90</v>
      </c>
      <c r="F11" s="59">
        <f>0.25*(3.3*4)</f>
        <v>3.3</v>
      </c>
      <c r="G11" s="60">
        <f>Maestro</f>
        <v>7250</v>
      </c>
      <c r="H11" s="61">
        <f t="shared" si="0"/>
        <v>23925</v>
      </c>
      <c r="J11" s="75">
        <f t="shared" si="1"/>
        <v>16.5</v>
      </c>
      <c r="K11" s="67">
        <f t="shared" si="2"/>
        <v>119625</v>
      </c>
    </row>
    <row r="12" spans="1:17" ht="16">
      <c r="B12" s="56"/>
      <c r="C12" s="56" t="s">
        <v>40</v>
      </c>
      <c r="D12" s="57" t="s">
        <v>41</v>
      </c>
      <c r="E12" s="58" t="s">
        <v>68</v>
      </c>
      <c r="F12" s="59">
        <f>1*(3.3*4)</f>
        <v>13.2</v>
      </c>
      <c r="G12" s="60">
        <f>Jornal</f>
        <v>5397.2222222222226</v>
      </c>
      <c r="H12" s="61">
        <f t="shared" si="0"/>
        <v>71243.332999999999</v>
      </c>
      <c r="J12" s="75">
        <f t="shared" si="1"/>
        <v>66</v>
      </c>
      <c r="K12" s="67">
        <f t="shared" si="2"/>
        <v>356216.66499999998</v>
      </c>
    </row>
    <row r="13" spans="1:17" ht="16">
      <c r="B13" s="56"/>
      <c r="C13" s="56" t="s">
        <v>54</v>
      </c>
      <c r="D13" s="57" t="s">
        <v>42</v>
      </c>
      <c r="E13" s="58" t="s">
        <v>55</v>
      </c>
      <c r="F13" s="59">
        <v>0.2</v>
      </c>
      <c r="G13" s="60">
        <f>SUM(H11:H12)</f>
        <v>95168.332999999999</v>
      </c>
      <c r="H13" s="61">
        <f>ROUND(F13*G13,3)</f>
        <v>19033.667000000001</v>
      </c>
      <c r="J13" s="75">
        <f>F13*$F$4</f>
        <v>1</v>
      </c>
      <c r="K13" s="67">
        <f>H13*$F$4</f>
        <v>95168.335000000006</v>
      </c>
    </row>
    <row r="14" spans="1:17" ht="16">
      <c r="B14" s="62"/>
      <c r="C14" s="62"/>
      <c r="D14" s="63"/>
      <c r="E14" s="64" t="s">
        <v>559</v>
      </c>
      <c r="F14" s="120">
        <f>$F$4</f>
        <v>5</v>
      </c>
      <c r="G14" s="65">
        <f>SUM(H5:H13)</f>
        <v>550083.95200000005</v>
      </c>
      <c r="H14" s="65">
        <f t="shared" si="0"/>
        <v>2750419.76</v>
      </c>
      <c r="K14" s="76">
        <f>SUM(K5:K13)</f>
        <v>2750419.76</v>
      </c>
    </row>
    <row r="16" spans="1:17">
      <c r="C16" s="66"/>
    </row>
  </sheetData>
  <dataValidations count="1">
    <dataValidation type="list" allowBlank="1" showErrorMessage="1" sqref="C14 C4" xr:uid="{BD471B18-19B6-4E48-8C12-199D6582CC51}">
      <formula1>"Capítulo,Partida,Mano de obra,Maquinaria,Material,Otros,Tarea"</formula1>
    </dataValidation>
  </dataValidations>
  <hyperlinks>
    <hyperlink ref="B1" location="'01.- Presupuesto'!A1" display="02.- Presupuesto'!A1" xr:uid="{1400F8CA-29E2-334C-8BBF-86416070CF68}"/>
  </hyperlinks>
  <pageMargins left="0.7" right="0.7" top="0.75" bottom="0.75" header="0.3" footer="0.3"/>
  <pageSetup orientation="portrait" horizontalDpi="0" verticalDpi="0"/>
  <ignoredErrors>
    <ignoredError sqref="F11" formula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31BF-E2E9-4854-AA02-720B6C1692D8}">
  <sheetPr>
    <tabColor theme="9" tint="0.59999389629810485"/>
  </sheetPr>
  <dimension ref="A1:Q16"/>
  <sheetViews>
    <sheetView showGridLines="0" zoomScaleNormal="100" workbookViewId="0">
      <selection activeCell="S39" sqref="S39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343</v>
      </c>
      <c r="C4" s="53" t="s">
        <v>36</v>
      </c>
      <c r="D4" s="148" t="str">
        <f>'01.- Presupuesto'!F190</f>
        <v>un</v>
      </c>
      <c r="E4" s="149" t="str">
        <f>'01.- Presupuesto'!C190</f>
        <v>Sum. y construcción muros cortafuego, altura 3,3 y largo 5,0 m albañilería bloques prefabricado</v>
      </c>
      <c r="F4" s="73">
        <f>'01.- Presupuesto'!G190</f>
        <v>1</v>
      </c>
      <c r="G4" s="55">
        <f>G14</f>
        <v>687604.94</v>
      </c>
      <c r="H4" s="55">
        <f>H14</f>
        <v>687604.94</v>
      </c>
      <c r="J4" s="74" t="s">
        <v>30</v>
      </c>
      <c r="K4" s="74" t="s">
        <v>37</v>
      </c>
      <c r="M4" s="70">
        <f>SUMIF(C5:C26,"Material",K5:K26)</f>
        <v>544852.43999999994</v>
      </c>
      <c r="N4" s="70">
        <f>SUMIF(C5:C26,"Mano de Obra",K5:K26)</f>
        <v>118960.417</v>
      </c>
      <c r="O4" s="70">
        <f>SUMIF(C5:C26,"Subcontrato",K5:K26)</f>
        <v>0</v>
      </c>
      <c r="P4" s="70">
        <f>SUMIF(C5:C26,"Ser&amp;Arr",K5:K26)</f>
        <v>23792.082999999999</v>
      </c>
      <c r="Q4" s="71">
        <f>SUM(M4:P4)</f>
        <v>687604.94</v>
      </c>
    </row>
    <row r="5" spans="1:17" ht="16">
      <c r="B5" s="56"/>
      <c r="C5" s="56" t="s">
        <v>38</v>
      </c>
      <c r="D5" s="57" t="s">
        <v>39</v>
      </c>
      <c r="E5" s="58" t="s">
        <v>553</v>
      </c>
      <c r="F5" s="59">
        <f>1*(3.3*5)</f>
        <v>16.5</v>
      </c>
      <c r="G5" s="60">
        <v>26850</v>
      </c>
      <c r="H5" s="61">
        <f t="shared" ref="H5:H12" si="0">ROUND(F5*G5,3)</f>
        <v>443025</v>
      </c>
      <c r="J5" s="75">
        <f>F5*$F$4</f>
        <v>16.5</v>
      </c>
      <c r="K5" s="67">
        <f>H5*$F$4</f>
        <v>443025</v>
      </c>
    </row>
    <row r="6" spans="1:17" ht="16">
      <c r="B6" s="56"/>
      <c r="C6" s="56" t="s">
        <v>38</v>
      </c>
      <c r="D6" s="57" t="s">
        <v>39</v>
      </c>
      <c r="E6" s="58" t="s">
        <v>554</v>
      </c>
      <c r="F6" s="59">
        <f>0.24*(3.3*5)</f>
        <v>3.96</v>
      </c>
      <c r="G6" s="60">
        <v>6000</v>
      </c>
      <c r="H6" s="61">
        <f t="shared" si="0"/>
        <v>23760</v>
      </c>
      <c r="J6" s="75">
        <f t="shared" ref="J6:J10" si="1">F6*$F$4</f>
        <v>3.96</v>
      </c>
      <c r="K6" s="67">
        <f t="shared" ref="K6:K10" si="2">H6*$F$4</f>
        <v>23760</v>
      </c>
    </row>
    <row r="7" spans="1:17" ht="16">
      <c r="B7" s="56"/>
      <c r="C7" s="56" t="s">
        <v>38</v>
      </c>
      <c r="D7" s="57" t="s">
        <v>39</v>
      </c>
      <c r="E7" s="58" t="s">
        <v>555</v>
      </c>
      <c r="F7" s="59">
        <f>0.021*(3.3*5)</f>
        <v>0.34650000000000003</v>
      </c>
      <c r="G7" s="60">
        <v>11160</v>
      </c>
      <c r="H7" s="61">
        <f t="shared" si="0"/>
        <v>3866.94</v>
      </c>
      <c r="J7" s="75">
        <f t="shared" si="1"/>
        <v>0.34650000000000003</v>
      </c>
      <c r="K7" s="67">
        <f t="shared" si="2"/>
        <v>3866.94</v>
      </c>
    </row>
    <row r="8" spans="1:17" ht="16">
      <c r="B8" s="56"/>
      <c r="C8" s="56" t="s">
        <v>38</v>
      </c>
      <c r="D8" s="57" t="s">
        <v>39</v>
      </c>
      <c r="E8" s="58" t="s">
        <v>556</v>
      </c>
      <c r="F8" s="59">
        <f>0.15*(3.3*5)</f>
        <v>2.4750000000000001</v>
      </c>
      <c r="G8" s="60">
        <v>7780</v>
      </c>
      <c r="H8" s="61">
        <f t="shared" si="0"/>
        <v>19255.5</v>
      </c>
      <c r="J8" s="75">
        <f t="shared" si="1"/>
        <v>2.4750000000000001</v>
      </c>
      <c r="K8" s="67">
        <f t="shared" si="2"/>
        <v>19255.5</v>
      </c>
    </row>
    <row r="9" spans="1:17" ht="16">
      <c r="B9" s="56"/>
      <c r="C9" s="56" t="s">
        <v>38</v>
      </c>
      <c r="D9" s="57" t="s">
        <v>39</v>
      </c>
      <c r="E9" s="58" t="s">
        <v>557</v>
      </c>
      <c r="F9" s="59">
        <f>3*(3.3*5)</f>
        <v>49.5</v>
      </c>
      <c r="G9" s="60">
        <v>510</v>
      </c>
      <c r="H9" s="61">
        <f t="shared" si="0"/>
        <v>25245</v>
      </c>
      <c r="J9" s="75">
        <f t="shared" si="1"/>
        <v>49.5</v>
      </c>
      <c r="K9" s="67">
        <f t="shared" si="2"/>
        <v>25245</v>
      </c>
    </row>
    <row r="10" spans="1:17" ht="16">
      <c r="B10" s="56"/>
      <c r="C10" s="56" t="s">
        <v>38</v>
      </c>
      <c r="D10" s="57" t="s">
        <v>39</v>
      </c>
      <c r="E10" s="58" t="s">
        <v>558</v>
      </c>
      <c r="F10" s="59">
        <f>1*(3.3*5)</f>
        <v>16.5</v>
      </c>
      <c r="G10" s="60">
        <v>1800</v>
      </c>
      <c r="H10" s="61">
        <f t="shared" si="0"/>
        <v>29700</v>
      </c>
      <c r="J10" s="75">
        <f t="shared" si="1"/>
        <v>16.5</v>
      </c>
      <c r="K10" s="67">
        <f t="shared" si="2"/>
        <v>29700</v>
      </c>
    </row>
    <row r="11" spans="1:17" ht="16">
      <c r="B11" s="56"/>
      <c r="C11" s="56" t="s">
        <v>40</v>
      </c>
      <c r="D11" s="57" t="s">
        <v>41</v>
      </c>
      <c r="E11" s="58" t="s">
        <v>90</v>
      </c>
      <c r="F11" s="59">
        <f>0.25*(3.3*5)</f>
        <v>4.125</v>
      </c>
      <c r="G11" s="60">
        <f>Maestro</f>
        <v>7250</v>
      </c>
      <c r="H11" s="61">
        <f t="shared" si="0"/>
        <v>29906.25</v>
      </c>
      <c r="J11" s="75">
        <f>F11*$F$4</f>
        <v>4.125</v>
      </c>
      <c r="K11" s="67">
        <f>H11*$F$4</f>
        <v>29906.25</v>
      </c>
    </row>
    <row r="12" spans="1:17" ht="16">
      <c r="B12" s="56"/>
      <c r="C12" s="56" t="s">
        <v>40</v>
      </c>
      <c r="D12" s="57" t="s">
        <v>41</v>
      </c>
      <c r="E12" s="58" t="s">
        <v>68</v>
      </c>
      <c r="F12" s="59">
        <f>1*(3.3*5)</f>
        <v>16.5</v>
      </c>
      <c r="G12" s="60">
        <f>Jornal</f>
        <v>5397.2222222222226</v>
      </c>
      <c r="H12" s="61">
        <f t="shared" si="0"/>
        <v>89054.167000000001</v>
      </c>
      <c r="J12" s="75">
        <f>F12*$F$4</f>
        <v>16.5</v>
      </c>
      <c r="K12" s="67">
        <f>H12*$F$4</f>
        <v>89054.167000000001</v>
      </c>
    </row>
    <row r="13" spans="1:17" ht="16">
      <c r="B13" s="56"/>
      <c r="C13" s="56" t="s">
        <v>54</v>
      </c>
      <c r="D13" s="57" t="s">
        <v>42</v>
      </c>
      <c r="E13" s="58" t="s">
        <v>55</v>
      </c>
      <c r="F13" s="59">
        <v>0.2</v>
      </c>
      <c r="G13" s="60">
        <f>SUM(H11:H12)</f>
        <v>118960.417</v>
      </c>
      <c r="H13" s="61">
        <f>ROUND(F13*G13,3)</f>
        <v>23792.082999999999</v>
      </c>
      <c r="J13" s="75">
        <f>F13*$F$4</f>
        <v>0.2</v>
      </c>
      <c r="K13" s="67">
        <f>H13*$F$4</f>
        <v>23792.082999999999</v>
      </c>
    </row>
    <row r="14" spans="1:17" ht="16">
      <c r="B14" s="62"/>
      <c r="C14" s="62"/>
      <c r="D14" s="63"/>
      <c r="E14" s="64" t="s">
        <v>560</v>
      </c>
      <c r="F14" s="120">
        <f>$F$4</f>
        <v>1</v>
      </c>
      <c r="G14" s="65">
        <f>SUM(H5:H13)</f>
        <v>687604.94</v>
      </c>
      <c r="H14" s="65">
        <f t="shared" ref="H14" si="3">ROUND(F14*G14,3)</f>
        <v>687604.94</v>
      </c>
      <c r="K14" s="76">
        <f>SUM(K5:K13)</f>
        <v>687604.94</v>
      </c>
    </row>
    <row r="16" spans="1:17">
      <c r="C16" s="66"/>
    </row>
  </sheetData>
  <dataValidations count="1">
    <dataValidation type="list" allowBlank="1" showErrorMessage="1" sqref="C14 C4" xr:uid="{EA0E9335-9F31-44A0-AE41-A602EB2A50FE}">
      <formula1>"Capítulo,Partida,Mano de obra,Maquinaria,Material,Otros,Tarea"</formula1>
    </dataValidation>
  </dataValidations>
  <hyperlinks>
    <hyperlink ref="B1" location="'01.- Presupuesto'!A1" display="02.- Presupuesto'!A1" xr:uid="{37F98E2F-852F-BE44-8702-EB0E88F63C45}"/>
  </hyperlinks>
  <pageMargins left="0.7" right="0.7" top="0.75" bottom="0.75" header="0.3" footer="0.3"/>
  <pageSetup orientation="portrait" horizontalDpi="0" verticalDpi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02C0-BB71-46CA-9E8B-5A9A8C4206F2}">
  <sheetPr>
    <tabColor theme="9" tint="0.59999389629810485"/>
  </sheetPr>
  <dimension ref="A1:Q18"/>
  <sheetViews>
    <sheetView showGridLines="0" zoomScaleNormal="100" workbookViewId="0">
      <selection activeCell="S39" sqref="S39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344</v>
      </c>
      <c r="C4" s="53" t="s">
        <v>36</v>
      </c>
      <c r="D4" s="148" t="str">
        <f>'01.- Presupuesto'!F191</f>
        <v>un</v>
      </c>
      <c r="E4" s="149" t="str">
        <f>'01.- Presupuesto'!C191</f>
        <v>Sum. y construcción muros cortafuego, altura 3,3 y largo 4,0 m. Sección de zapata 1,2m</v>
      </c>
      <c r="F4" s="73">
        <f>'01.- Presupuesto'!G191</f>
        <v>5</v>
      </c>
      <c r="G4" s="55">
        <f>G16</f>
        <v>226825.76100000003</v>
      </c>
      <c r="H4" s="55">
        <f>H16</f>
        <v>1134128.8049999999</v>
      </c>
      <c r="J4" s="74" t="s">
        <v>30</v>
      </c>
      <c r="K4" s="74" t="s">
        <v>37</v>
      </c>
      <c r="M4" s="70">
        <f>SUMIF(C5:C28,"Material",K5:K28)</f>
        <v>878758.14</v>
      </c>
      <c r="N4" s="70">
        <f>SUMIF(C5:C28,"Mano de Obra",K5:K28)</f>
        <v>46142.22</v>
      </c>
      <c r="O4" s="70">
        <f>SUMIF(C5:C28,"Subcontrato",K5:K28)</f>
        <v>172800</v>
      </c>
      <c r="P4" s="70">
        <f>SUMIF(C5:C28,"Ser&amp;Arr",K5:K28)</f>
        <v>36428.445</v>
      </c>
      <c r="Q4" s="71">
        <f>SUM(M4:P4)</f>
        <v>1134128.8049999999</v>
      </c>
    </row>
    <row r="5" spans="1:17" ht="16">
      <c r="B5" s="56"/>
      <c r="C5" s="56" t="s">
        <v>38</v>
      </c>
      <c r="D5" s="57" t="s">
        <v>67</v>
      </c>
      <c r="E5" s="58" t="s">
        <v>382</v>
      </c>
      <c r="F5" s="59">
        <f>1.1*(4*1.2*0.2)</f>
        <v>1.056</v>
      </c>
      <c r="G5" s="60">
        <f>HormG20</f>
        <v>108376.92</v>
      </c>
      <c r="H5" s="61">
        <f t="shared" ref="H5:H8" si="0">ROUND(F5*G5,3)</f>
        <v>114446.02800000001</v>
      </c>
      <c r="J5" s="75">
        <f>F5*$F$4</f>
        <v>5.28</v>
      </c>
      <c r="K5" s="67">
        <f>H5*$F$4</f>
        <v>572230.14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0.1*(4*1.2*0.2)</f>
        <v>9.6000000000000002E-2</v>
      </c>
      <c r="G6" s="60">
        <v>12000</v>
      </c>
      <c r="H6" s="61">
        <f t="shared" si="0"/>
        <v>1152</v>
      </c>
      <c r="J6" s="75">
        <f t="shared" ref="J6:J7" si="1">F6*$F$4</f>
        <v>0.48</v>
      </c>
      <c r="K6" s="67">
        <f t="shared" ref="K6:K7" si="2">H6*$F$4</f>
        <v>5760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1/3*(4*1.2*0.2)</f>
        <v>0.31999999999999995</v>
      </c>
      <c r="G7" s="60">
        <f>Maestro</f>
        <v>7250</v>
      </c>
      <c r="H7" s="61">
        <f t="shared" si="0"/>
        <v>2320</v>
      </c>
      <c r="J7" s="75">
        <f t="shared" si="1"/>
        <v>1.5999999999999996</v>
      </c>
      <c r="K7" s="67">
        <f t="shared" si="2"/>
        <v>11600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4*(1/3)*(4*1.2*0.2)</f>
        <v>1.2799999999999998</v>
      </c>
      <c r="G8" s="60">
        <f>Jornal</f>
        <v>5397.2222222222226</v>
      </c>
      <c r="H8" s="61">
        <f t="shared" si="0"/>
        <v>6908.4440000000004</v>
      </c>
      <c r="J8" s="75">
        <f t="shared" ref="J8:J15" si="3">F8*$F$4</f>
        <v>6.3999999999999986</v>
      </c>
      <c r="K8" s="67">
        <f t="shared" ref="K8:K15" si="4">H8*$F$4</f>
        <v>34542.22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9228.4439999999995</v>
      </c>
      <c r="H9" s="61">
        <f>ROUND(F9*G9,3)</f>
        <v>1845.6890000000001</v>
      </c>
      <c r="J9" s="75">
        <f t="shared" si="3"/>
        <v>1</v>
      </c>
      <c r="K9" s="67">
        <f t="shared" si="4"/>
        <v>9228.4449999999997</v>
      </c>
    </row>
    <row r="10" spans="1:17" ht="16">
      <c r="B10" s="56"/>
      <c r="C10" s="56" t="s">
        <v>54</v>
      </c>
      <c r="D10" s="57" t="s">
        <v>71</v>
      </c>
      <c r="E10" s="58" t="s">
        <v>372</v>
      </c>
      <c r="F10" s="59">
        <f>1/3*(4*1.2*0.2)</f>
        <v>0.31999999999999995</v>
      </c>
      <c r="G10" s="60">
        <f>3500+3500</f>
        <v>7000</v>
      </c>
      <c r="H10" s="61">
        <f>ROUND(F10*G10,3)</f>
        <v>2240</v>
      </c>
      <c r="J10" s="75">
        <f t="shared" si="3"/>
        <v>1.5999999999999996</v>
      </c>
      <c r="K10" s="67">
        <f t="shared" si="4"/>
        <v>11200</v>
      </c>
    </row>
    <row r="11" spans="1:17" ht="16">
      <c r="B11" s="56"/>
      <c r="C11" s="56" t="s">
        <v>54</v>
      </c>
      <c r="D11" s="57" t="s">
        <v>71</v>
      </c>
      <c r="E11" s="58" t="s">
        <v>373</v>
      </c>
      <c r="F11" s="59">
        <f>1/3*(4*1.2*0.2)</f>
        <v>0.31999999999999995</v>
      </c>
      <c r="G11" s="60">
        <f>3500+3500</f>
        <v>7000</v>
      </c>
      <c r="H11" s="61">
        <f>ROUND(F11*G11,3)</f>
        <v>2240</v>
      </c>
      <c r="J11" s="75">
        <f t="shared" si="3"/>
        <v>1.5999999999999996</v>
      </c>
      <c r="K11" s="67">
        <f t="shared" si="4"/>
        <v>11200</v>
      </c>
    </row>
    <row r="12" spans="1:17" ht="16">
      <c r="B12" s="56"/>
      <c r="C12" s="56" t="s">
        <v>54</v>
      </c>
      <c r="D12" s="57" t="s">
        <v>76</v>
      </c>
      <c r="E12" s="58" t="s">
        <v>368</v>
      </c>
      <c r="F12" s="59">
        <f>1/50*(4*1.2*0.2)</f>
        <v>1.9199999999999998E-2</v>
      </c>
      <c r="G12" s="60">
        <v>50000</v>
      </c>
      <c r="H12" s="61">
        <f>ROUND(F12*G12,3)</f>
        <v>960</v>
      </c>
      <c r="J12" s="75">
        <f t="shared" si="3"/>
        <v>9.5999999999999988E-2</v>
      </c>
      <c r="K12" s="67">
        <f t="shared" si="4"/>
        <v>4800</v>
      </c>
    </row>
    <row r="13" spans="1:17" ht="16">
      <c r="B13" s="56"/>
      <c r="C13" s="56" t="s">
        <v>38</v>
      </c>
      <c r="D13" s="57" t="s">
        <v>396</v>
      </c>
      <c r="E13" s="58" t="s">
        <v>395</v>
      </c>
      <c r="F13" s="59">
        <f>1.1*(4*1.2*0.2)*60</f>
        <v>63.36</v>
      </c>
      <c r="G13" s="60">
        <v>900</v>
      </c>
      <c r="H13" s="61">
        <f t="shared" ref="H13:H15" si="5">ROUND(F13*G13,3)</f>
        <v>57024</v>
      </c>
      <c r="J13" s="75">
        <f t="shared" si="3"/>
        <v>316.8</v>
      </c>
      <c r="K13" s="67">
        <f t="shared" si="4"/>
        <v>285120</v>
      </c>
    </row>
    <row r="14" spans="1:17" ht="16">
      <c r="B14" s="56"/>
      <c r="C14" s="56" t="s">
        <v>38</v>
      </c>
      <c r="D14" s="57" t="s">
        <v>396</v>
      </c>
      <c r="E14" s="58" t="s">
        <v>397</v>
      </c>
      <c r="F14" s="59">
        <f>1/30*(4*1.2*0.2)*60</f>
        <v>1.92</v>
      </c>
      <c r="G14" s="60">
        <v>1630</v>
      </c>
      <c r="H14" s="61">
        <f t="shared" si="5"/>
        <v>3129.6</v>
      </c>
      <c r="J14" s="75">
        <f t="shared" si="3"/>
        <v>9.6</v>
      </c>
      <c r="K14" s="67">
        <f t="shared" si="4"/>
        <v>15648</v>
      </c>
    </row>
    <row r="15" spans="1:17" ht="16">
      <c r="B15" s="56"/>
      <c r="C15" s="56" t="s">
        <v>94</v>
      </c>
      <c r="D15" s="57" t="s">
        <v>396</v>
      </c>
      <c r="E15" s="58" t="s">
        <v>482</v>
      </c>
      <c r="F15" s="59">
        <f>1*(4*1.2*0.2)*60</f>
        <v>57.599999999999994</v>
      </c>
      <c r="G15" s="60">
        <f>Enf</f>
        <v>600</v>
      </c>
      <c r="H15" s="61">
        <f t="shared" si="5"/>
        <v>34560</v>
      </c>
      <c r="J15" s="75">
        <f t="shared" si="3"/>
        <v>288</v>
      </c>
      <c r="K15" s="67">
        <f t="shared" si="4"/>
        <v>172800</v>
      </c>
    </row>
    <row r="16" spans="1:17" ht="16">
      <c r="B16" s="62"/>
      <c r="C16" s="62"/>
      <c r="D16" s="63"/>
      <c r="E16" s="64" t="s">
        <v>43</v>
      </c>
      <c r="F16" s="120">
        <f>$F$4</f>
        <v>5</v>
      </c>
      <c r="G16" s="65">
        <f>SUM(H5:H15)</f>
        <v>226825.76100000003</v>
      </c>
      <c r="H16" s="65">
        <f t="shared" ref="H16" si="6">ROUND(F16*G16,3)</f>
        <v>1134128.8049999999</v>
      </c>
      <c r="K16" s="76">
        <f>SUM(K5:K15)</f>
        <v>1134128.8049999999</v>
      </c>
    </row>
    <row r="18" spans="3:3">
      <c r="C18" s="66"/>
    </row>
  </sheetData>
  <dataValidations disablePrompts="1" count="1">
    <dataValidation type="list" allowBlank="1" showErrorMessage="1" sqref="C16 C4" xr:uid="{FEE8F097-09A5-4CF1-9C3B-C3A9D3DCCDA5}">
      <formula1>"Capítulo,Partida,Mano de obra,Maquinaria,Material,Otros,Tarea"</formula1>
    </dataValidation>
  </dataValidations>
  <hyperlinks>
    <hyperlink ref="B1" location="'01.- Presupuesto'!A1" display="02.- Presupuesto'!A1" xr:uid="{235D22DF-5E6D-254C-8767-949E2131E546}"/>
  </hyperlinks>
  <pageMargins left="0.7" right="0.7" top="0.75" bottom="0.75" header="0.3" footer="0.3"/>
  <pageSetup orientation="portrait" horizontalDpi="0" verticalDpi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F16A-C874-4653-A9C2-ED5A58260467}">
  <sheetPr>
    <tabColor theme="9" tint="0.59999389629810485"/>
  </sheetPr>
  <dimension ref="A1:Q18"/>
  <sheetViews>
    <sheetView showGridLines="0" zoomScaleNormal="100" workbookViewId="0">
      <selection activeCell="B1" sqref="B1"/>
    </sheetView>
  </sheetViews>
  <sheetFormatPr baseColWidth="10" defaultColWidth="11.5" defaultRowHeight="15"/>
  <cols>
    <col min="1" max="1" width="3.6640625" customWidth="1"/>
    <col min="2" max="2" width="8.5" bestFit="1" customWidth="1"/>
    <col min="3" max="3" width="13.5" bestFit="1" customWidth="1"/>
    <col min="4" max="4" width="7.1640625" style="3" bestFit="1" customWidth="1"/>
    <col min="5" max="5" width="70.6640625" customWidth="1"/>
    <col min="6" max="6" width="8.83203125" bestFit="1" customWidth="1"/>
    <col min="7" max="7" width="13.33203125" bestFit="1" customWidth="1"/>
    <col min="8" max="8" width="10.1640625" bestFit="1" customWidth="1"/>
    <col min="9" max="9" width="3.6640625" customWidth="1"/>
    <col min="12" max="12" width="3.6640625" customWidth="1"/>
    <col min="14" max="14" width="8.5" bestFit="1" customWidth="1"/>
    <col min="15" max="15" width="8.5" customWidth="1"/>
  </cols>
  <sheetData>
    <row r="1" spans="1:17">
      <c r="A1" s="48"/>
      <c r="B1" s="48" t="s">
        <v>74</v>
      </c>
    </row>
    <row r="3" spans="1:17" ht="16">
      <c r="B3" s="50" t="s">
        <v>31</v>
      </c>
      <c r="C3" s="50" t="s">
        <v>32</v>
      </c>
      <c r="D3" s="50" t="s">
        <v>29</v>
      </c>
      <c r="E3" s="51" t="s">
        <v>33</v>
      </c>
      <c r="F3" s="50" t="s">
        <v>30</v>
      </c>
      <c r="G3" s="50" t="s">
        <v>34</v>
      </c>
      <c r="H3" s="50" t="s">
        <v>35</v>
      </c>
      <c r="M3" s="68" t="s">
        <v>45</v>
      </c>
      <c r="N3" s="68" t="s">
        <v>46</v>
      </c>
      <c r="O3" s="68" t="s">
        <v>56</v>
      </c>
      <c r="P3" s="68" t="s">
        <v>47</v>
      </c>
      <c r="Q3" s="69"/>
    </row>
    <row r="4" spans="1:17">
      <c r="B4" s="52" t="s">
        <v>345</v>
      </c>
      <c r="C4" s="53" t="s">
        <v>36</v>
      </c>
      <c r="D4" s="148" t="str">
        <f>'01.- Presupuesto'!F192</f>
        <v>un</v>
      </c>
      <c r="E4" s="149" t="str">
        <f>'01.- Presupuesto'!C192</f>
        <v>Sum. y construcción muros cortafuego, altura 3,3 y largo 5,0 m. Sección de zapata 1,2m</v>
      </c>
      <c r="F4" s="73">
        <f>'01.- Presupuesto'!G192</f>
        <v>1</v>
      </c>
      <c r="G4" s="55">
        <f>G16</f>
        <v>283532.201</v>
      </c>
      <c r="H4" s="55">
        <f>H16</f>
        <v>283532.201</v>
      </c>
      <c r="J4" s="74" t="s">
        <v>30</v>
      </c>
      <c r="K4" s="74" t="s">
        <v>37</v>
      </c>
      <c r="M4" s="70">
        <f>SUMIF(C5:C28,"Material",K5:K28)</f>
        <v>219689.53400000001</v>
      </c>
      <c r="N4" s="70">
        <f>SUMIF(C5:C28,"Mano de Obra",K5:K28)</f>
        <v>11535.556</v>
      </c>
      <c r="O4" s="70">
        <f>SUMIF(C5:C28,"Subcontrato",K5:K28)</f>
        <v>43200</v>
      </c>
      <c r="P4" s="70">
        <f>SUMIF(C5:C28,"Ser&amp;Arr",K5:K28)</f>
        <v>9107.1110000000008</v>
      </c>
      <c r="Q4" s="71">
        <f>SUM(M4:P4)</f>
        <v>283532.201</v>
      </c>
    </row>
    <row r="5" spans="1:17" ht="16">
      <c r="B5" s="56"/>
      <c r="C5" s="56" t="s">
        <v>38</v>
      </c>
      <c r="D5" s="57" t="s">
        <v>67</v>
      </c>
      <c r="E5" s="58" t="s">
        <v>382</v>
      </c>
      <c r="F5" s="59">
        <f>1.1*(5*1.2*0.2)</f>
        <v>1.3200000000000003</v>
      </c>
      <c r="G5" s="60">
        <f>HormG20</f>
        <v>108376.92</v>
      </c>
      <c r="H5" s="61">
        <f t="shared" ref="H5:H8" si="0">ROUND(F5*G5,3)</f>
        <v>143057.53400000001</v>
      </c>
      <c r="J5" s="75">
        <f>F5*$F$4</f>
        <v>1.3200000000000003</v>
      </c>
      <c r="K5" s="67">
        <f>H5*$F$4</f>
        <v>143057.53400000001</v>
      </c>
    </row>
    <row r="6" spans="1:17" ht="16">
      <c r="B6" s="56"/>
      <c r="C6" s="56" t="s">
        <v>38</v>
      </c>
      <c r="D6" s="57" t="s">
        <v>67</v>
      </c>
      <c r="E6" s="58" t="s">
        <v>371</v>
      </c>
      <c r="F6" s="59">
        <f>0.1*(5*1.2*0.2)</f>
        <v>0.12000000000000002</v>
      </c>
      <c r="G6" s="60">
        <v>12000</v>
      </c>
      <c r="H6" s="61">
        <f t="shared" si="0"/>
        <v>1440</v>
      </c>
      <c r="J6" s="75">
        <f t="shared" ref="J6:J7" si="1">F6*$F$4</f>
        <v>0.12000000000000002</v>
      </c>
      <c r="K6" s="67">
        <f t="shared" ref="K6:K7" si="2">H6*$F$4</f>
        <v>1440</v>
      </c>
    </row>
    <row r="7" spans="1:17" ht="16">
      <c r="B7" s="56"/>
      <c r="C7" s="56" t="s">
        <v>40</v>
      </c>
      <c r="D7" s="57" t="s">
        <v>41</v>
      </c>
      <c r="E7" s="58" t="s">
        <v>90</v>
      </c>
      <c r="F7" s="59">
        <f>1/3*(5*1.2*0.2)</f>
        <v>0.4</v>
      </c>
      <c r="G7" s="60">
        <f>Maestro</f>
        <v>7250</v>
      </c>
      <c r="H7" s="61">
        <f t="shared" si="0"/>
        <v>2900</v>
      </c>
      <c r="J7" s="75">
        <f t="shared" si="1"/>
        <v>0.4</v>
      </c>
      <c r="K7" s="67">
        <f t="shared" si="2"/>
        <v>2900</v>
      </c>
    </row>
    <row r="8" spans="1:17" ht="16">
      <c r="B8" s="56"/>
      <c r="C8" s="56" t="s">
        <v>40</v>
      </c>
      <c r="D8" s="57" t="s">
        <v>41</v>
      </c>
      <c r="E8" s="58" t="s">
        <v>68</v>
      </c>
      <c r="F8" s="59">
        <f>4*(1/3)*(5*1.2*0.2)</f>
        <v>1.6</v>
      </c>
      <c r="G8" s="60">
        <f>Jornal</f>
        <v>5397.2222222222226</v>
      </c>
      <c r="H8" s="61">
        <f t="shared" si="0"/>
        <v>8635.5560000000005</v>
      </c>
      <c r="J8" s="75">
        <f t="shared" ref="J8:J15" si="3">F8*$F$4</f>
        <v>1.6</v>
      </c>
      <c r="K8" s="67">
        <f t="shared" ref="K8:K15" si="4">H8*$F$4</f>
        <v>8635.5560000000005</v>
      </c>
    </row>
    <row r="9" spans="1:17" ht="16">
      <c r="B9" s="56"/>
      <c r="C9" s="56" t="s">
        <v>54</v>
      </c>
      <c r="D9" s="57" t="s">
        <v>42</v>
      </c>
      <c r="E9" s="58" t="s">
        <v>55</v>
      </c>
      <c r="F9" s="59">
        <v>0.2</v>
      </c>
      <c r="G9" s="60">
        <f>SUM(H7:H8)</f>
        <v>11535.556</v>
      </c>
      <c r="H9" s="61">
        <f>ROUND(F9*G9,3)</f>
        <v>2307.1109999999999</v>
      </c>
      <c r="J9" s="75">
        <f t="shared" si="3"/>
        <v>0.2</v>
      </c>
      <c r="K9" s="67">
        <f t="shared" si="4"/>
        <v>2307.1109999999999</v>
      </c>
    </row>
    <row r="10" spans="1:17" ht="16">
      <c r="B10" s="56"/>
      <c r="C10" s="56" t="s">
        <v>54</v>
      </c>
      <c r="D10" s="57" t="s">
        <v>71</v>
      </c>
      <c r="E10" s="58" t="s">
        <v>372</v>
      </c>
      <c r="F10" s="59">
        <f>1/3*(5*1.2*0.2)</f>
        <v>0.4</v>
      </c>
      <c r="G10" s="60">
        <f>3500+3500</f>
        <v>7000</v>
      </c>
      <c r="H10" s="61">
        <f>ROUND(F10*G10,3)</f>
        <v>2800</v>
      </c>
      <c r="J10" s="75">
        <f t="shared" si="3"/>
        <v>0.4</v>
      </c>
      <c r="K10" s="67">
        <f t="shared" si="4"/>
        <v>2800</v>
      </c>
    </row>
    <row r="11" spans="1:17" ht="16">
      <c r="B11" s="56"/>
      <c r="C11" s="56" t="s">
        <v>54</v>
      </c>
      <c r="D11" s="57" t="s">
        <v>71</v>
      </c>
      <c r="E11" s="58" t="s">
        <v>373</v>
      </c>
      <c r="F11" s="59">
        <f>1/3*(5*1.2*0.2)</f>
        <v>0.4</v>
      </c>
      <c r="G11" s="60">
        <f>3500+3500</f>
        <v>7000</v>
      </c>
      <c r="H11" s="61">
        <f>ROUND(F11*G11,3)</f>
        <v>2800</v>
      </c>
      <c r="J11" s="75">
        <f t="shared" si="3"/>
        <v>0.4</v>
      </c>
      <c r="K11" s="67">
        <f t="shared" si="4"/>
        <v>2800</v>
      </c>
    </row>
    <row r="12" spans="1:17" ht="16">
      <c r="B12" s="56"/>
      <c r="C12" s="56" t="s">
        <v>54</v>
      </c>
      <c r="D12" s="57" t="s">
        <v>76</v>
      </c>
      <c r="E12" s="58" t="s">
        <v>368</v>
      </c>
      <c r="F12" s="59">
        <f>1/50*(5*1.2*0.2)</f>
        <v>2.4000000000000004E-2</v>
      </c>
      <c r="G12" s="60">
        <v>50000</v>
      </c>
      <c r="H12" s="61">
        <f>ROUND(F12*G12,3)</f>
        <v>1200</v>
      </c>
      <c r="J12" s="75">
        <f t="shared" si="3"/>
        <v>2.4000000000000004E-2</v>
      </c>
      <c r="K12" s="67">
        <f t="shared" si="4"/>
        <v>1200</v>
      </c>
    </row>
    <row r="13" spans="1:17" ht="16">
      <c r="B13" s="56"/>
      <c r="C13" s="56" t="s">
        <v>38</v>
      </c>
      <c r="D13" s="57" t="s">
        <v>396</v>
      </c>
      <c r="E13" s="58" t="s">
        <v>395</v>
      </c>
      <c r="F13" s="59">
        <f>1.1*(5*1.2*0.2)*60</f>
        <v>79.200000000000017</v>
      </c>
      <c r="G13" s="60">
        <v>900</v>
      </c>
      <c r="H13" s="61">
        <f t="shared" ref="H13:H15" si="5">ROUND(F13*G13,3)</f>
        <v>71280</v>
      </c>
      <c r="J13" s="75">
        <f t="shared" si="3"/>
        <v>79.200000000000017</v>
      </c>
      <c r="K13" s="67">
        <f t="shared" si="4"/>
        <v>71280</v>
      </c>
    </row>
    <row r="14" spans="1:17" ht="16">
      <c r="B14" s="56"/>
      <c r="C14" s="56" t="s">
        <v>38</v>
      </c>
      <c r="D14" s="57" t="s">
        <v>396</v>
      </c>
      <c r="E14" s="58" t="s">
        <v>397</v>
      </c>
      <c r="F14" s="59">
        <f>1/30*(5*1.2*0.2)*60</f>
        <v>2.4000000000000004</v>
      </c>
      <c r="G14" s="60">
        <v>1630</v>
      </c>
      <c r="H14" s="61">
        <f t="shared" si="5"/>
        <v>3912</v>
      </c>
      <c r="J14" s="75">
        <f t="shared" si="3"/>
        <v>2.4000000000000004</v>
      </c>
      <c r="K14" s="67">
        <f t="shared" si="4"/>
        <v>3912</v>
      </c>
    </row>
    <row r="15" spans="1:17" ht="16">
      <c r="B15" s="56"/>
      <c r="C15" s="56" t="s">
        <v>94</v>
      </c>
      <c r="D15" s="57" t="s">
        <v>396</v>
      </c>
      <c r="E15" s="58" t="s">
        <v>482</v>
      </c>
      <c r="F15" s="59">
        <f>1*(5*1.2*0.2)*60</f>
        <v>72.000000000000014</v>
      </c>
      <c r="G15" s="60">
        <f>Enf</f>
        <v>600</v>
      </c>
      <c r="H15" s="61">
        <f t="shared" si="5"/>
        <v>43200</v>
      </c>
      <c r="J15" s="75">
        <f t="shared" si="3"/>
        <v>72.000000000000014</v>
      </c>
      <c r="K15" s="67">
        <f t="shared" si="4"/>
        <v>43200</v>
      </c>
    </row>
    <row r="16" spans="1:17" ht="16">
      <c r="B16" s="62"/>
      <c r="C16" s="62"/>
      <c r="D16" s="63"/>
      <c r="E16" s="64" t="s">
        <v>43</v>
      </c>
      <c r="F16" s="120">
        <f>$F$4</f>
        <v>1</v>
      </c>
      <c r="G16" s="65">
        <f>SUM(H5:H15)</f>
        <v>283532.201</v>
      </c>
      <c r="H16" s="65">
        <f t="shared" ref="H16" si="6">ROUND(F16*G16,3)</f>
        <v>283532.201</v>
      </c>
      <c r="K16" s="76">
        <f>SUM(K5:K15)</f>
        <v>283532.201</v>
      </c>
    </row>
    <row r="18" spans="3:3">
      <c r="C18" s="66"/>
    </row>
  </sheetData>
  <dataValidations count="1">
    <dataValidation type="list" allowBlank="1" showErrorMessage="1" sqref="C16 C4" xr:uid="{AEC71FF1-FE8A-4A00-B2B2-5A264300F3BF}">
      <formula1>"Capítulo,Partida,Mano de obra,Maquinaria,Material,Otros,Tarea"</formula1>
    </dataValidation>
  </dataValidations>
  <hyperlinks>
    <hyperlink ref="B1" location="'01.- Presupuesto'!A1" display="02.- Presupuesto'!A1" xr:uid="{870EB099-F078-2046-996F-DBF70849926C}"/>
  </hyperlink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16AE490CA1F64EA8A33B276239325C" ma:contentTypeVersion="13" ma:contentTypeDescription="Crear nuevo documento." ma:contentTypeScope="" ma:versionID="90fea823e89695caec58c3a33e10cfb8">
  <xsd:schema xmlns:xsd="http://www.w3.org/2001/XMLSchema" xmlns:xs="http://www.w3.org/2001/XMLSchema" xmlns:p="http://schemas.microsoft.com/office/2006/metadata/properties" xmlns:ns2="9a0e0ad4-b592-450d-8396-579e961b98ef" xmlns:ns3="eca3720f-a663-436f-8433-297e94b51c34" targetNamespace="http://schemas.microsoft.com/office/2006/metadata/properties" ma:root="true" ma:fieldsID="e5b4730b9145976d3ca116b779aa3d04" ns2:_="" ns3:_="">
    <xsd:import namespace="9a0e0ad4-b592-450d-8396-579e961b98ef"/>
    <xsd:import namespace="eca3720f-a663-436f-8433-297e94b51c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0e0ad4-b592-450d-8396-579e961b98e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3720f-a663-436f-8433-297e94b51c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3F5DEA-D64D-4BBD-826E-26304D2CAC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0e0ad4-b592-450d-8396-579e961b98ef"/>
    <ds:schemaRef ds:uri="eca3720f-a663-436f-8433-297e94b51c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B4FAEA-8805-462F-B7F5-856B1D9B6C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C96368-8F28-4541-8C25-CAAD48F7D8E9}">
  <ds:schemaRefs>
    <ds:schemaRef ds:uri="http://purl.org/dc/elements/1.1/"/>
    <ds:schemaRef ds:uri="eca3720f-a663-436f-8433-297e94b51c34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a0e0ad4-b592-450d-8396-579e961b98e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144</vt:i4>
      </vt:variant>
      <vt:variant>
        <vt:lpstr>Rangos con nombre</vt:lpstr>
      </vt:variant>
      <vt:variant>
        <vt:i4>34</vt:i4>
      </vt:variant>
    </vt:vector>
  </HeadingPairs>
  <TitlesOfParts>
    <vt:vector size="178" baseType="lpstr">
      <vt:lpstr>01.- Presupuesto</vt:lpstr>
      <vt:lpstr>02.- Gastos Generales</vt:lpstr>
      <vt:lpstr>03.- Cubicaciones</vt:lpstr>
      <vt:lpstr>04.- CC Cubicaciones</vt:lpstr>
      <vt:lpstr>05.- PU Clave</vt:lpstr>
      <vt:lpstr>1.1</vt:lpstr>
      <vt:lpstr>2.1</vt:lpstr>
      <vt:lpstr>2.2</vt:lpstr>
      <vt:lpstr>2.3</vt:lpstr>
      <vt:lpstr>2.4</vt:lpstr>
      <vt:lpstr>3.1</vt:lpstr>
      <vt:lpstr>3.2</vt:lpstr>
      <vt:lpstr>3.3</vt:lpstr>
      <vt:lpstr>3.4</vt:lpstr>
      <vt:lpstr>3.5</vt:lpstr>
      <vt:lpstr>4.1</vt:lpstr>
      <vt:lpstr>4.2</vt:lpstr>
      <vt:lpstr>5.1</vt:lpstr>
      <vt:lpstr>5.2</vt:lpstr>
      <vt:lpstr>5.3</vt:lpstr>
      <vt:lpstr>5.4</vt:lpstr>
      <vt:lpstr>6.1</vt:lpstr>
      <vt:lpstr>6.2</vt:lpstr>
      <vt:lpstr>6.3</vt:lpstr>
      <vt:lpstr>6.4</vt:lpstr>
      <vt:lpstr>6.5</vt:lpstr>
      <vt:lpstr>6.6</vt:lpstr>
      <vt:lpstr>6.7</vt:lpstr>
      <vt:lpstr>7.1</vt:lpstr>
      <vt:lpstr>7.2</vt:lpstr>
      <vt:lpstr>7.8</vt:lpstr>
      <vt:lpstr>7.3</vt:lpstr>
      <vt:lpstr>7.4</vt:lpstr>
      <vt:lpstr>7.5</vt:lpstr>
      <vt:lpstr>7.6</vt:lpstr>
      <vt:lpstr>7.7</vt:lpstr>
      <vt:lpstr>7.9</vt:lpstr>
      <vt:lpstr>7.10</vt:lpstr>
      <vt:lpstr>7.11</vt:lpstr>
      <vt:lpstr>8.1</vt:lpstr>
      <vt:lpstr>8.2</vt:lpstr>
      <vt:lpstr>8.3</vt:lpstr>
      <vt:lpstr>8.4</vt:lpstr>
      <vt:lpstr>8.5</vt:lpstr>
      <vt:lpstr>8.6</vt:lpstr>
      <vt:lpstr>8.7</vt:lpstr>
      <vt:lpstr>9.1</vt:lpstr>
      <vt:lpstr>9.2</vt:lpstr>
      <vt:lpstr>9.3</vt:lpstr>
      <vt:lpstr>9.4</vt:lpstr>
      <vt:lpstr>9.5</vt:lpstr>
      <vt:lpstr>9.6</vt:lpstr>
      <vt:lpstr>10.1</vt:lpstr>
      <vt:lpstr>10.2</vt:lpstr>
      <vt:lpstr>10.3</vt:lpstr>
      <vt:lpstr>10.4</vt:lpstr>
      <vt:lpstr>10.5</vt:lpstr>
      <vt:lpstr>10.6</vt:lpstr>
      <vt:lpstr>10.7</vt:lpstr>
      <vt:lpstr>10.8</vt:lpstr>
      <vt:lpstr>11.1</vt:lpstr>
      <vt:lpstr>11.2</vt:lpstr>
      <vt:lpstr>11.3</vt:lpstr>
      <vt:lpstr>11.4</vt:lpstr>
      <vt:lpstr>12.1</vt:lpstr>
      <vt:lpstr>12.2</vt:lpstr>
      <vt:lpstr>12.3</vt:lpstr>
      <vt:lpstr>12.4</vt:lpstr>
      <vt:lpstr>12.5</vt:lpstr>
      <vt:lpstr>12.6</vt:lpstr>
      <vt:lpstr>13.1</vt:lpstr>
      <vt:lpstr>13.2</vt:lpstr>
      <vt:lpstr>13.3</vt:lpstr>
      <vt:lpstr>13.4</vt:lpstr>
      <vt:lpstr>13.5</vt:lpstr>
      <vt:lpstr>13.6</vt:lpstr>
      <vt:lpstr>13.7</vt:lpstr>
      <vt:lpstr>13.8</vt:lpstr>
      <vt:lpstr>14.1</vt:lpstr>
      <vt:lpstr>14.2</vt:lpstr>
      <vt:lpstr>14.3</vt:lpstr>
      <vt:lpstr>14.4</vt:lpstr>
      <vt:lpstr>14.5</vt:lpstr>
      <vt:lpstr>14.6</vt:lpstr>
      <vt:lpstr>14.7</vt:lpstr>
      <vt:lpstr>14.8</vt:lpstr>
      <vt:lpstr>15.1</vt:lpstr>
      <vt:lpstr>16.1</vt:lpstr>
      <vt:lpstr>17.1</vt:lpstr>
      <vt:lpstr>17.2</vt:lpstr>
      <vt:lpstr>17.3</vt:lpstr>
      <vt:lpstr>17.4</vt:lpstr>
      <vt:lpstr>18.1</vt:lpstr>
      <vt:lpstr>18.2</vt:lpstr>
      <vt:lpstr>19.1</vt:lpstr>
      <vt:lpstr>19.2</vt:lpstr>
      <vt:lpstr>19.3</vt:lpstr>
      <vt:lpstr>19.4</vt:lpstr>
      <vt:lpstr>19.5</vt:lpstr>
      <vt:lpstr>19.6</vt:lpstr>
      <vt:lpstr>19.7</vt:lpstr>
      <vt:lpstr>19.8</vt:lpstr>
      <vt:lpstr>20.1</vt:lpstr>
      <vt:lpstr>20.2</vt:lpstr>
      <vt:lpstr>20.3</vt:lpstr>
      <vt:lpstr>20.4</vt:lpstr>
      <vt:lpstr>21.1</vt:lpstr>
      <vt:lpstr>21.2</vt:lpstr>
      <vt:lpstr>21.3</vt:lpstr>
      <vt:lpstr>21.4</vt:lpstr>
      <vt:lpstr>21.5</vt:lpstr>
      <vt:lpstr>21.6</vt:lpstr>
      <vt:lpstr>21.7</vt:lpstr>
      <vt:lpstr>21.8</vt:lpstr>
      <vt:lpstr>21.9</vt:lpstr>
      <vt:lpstr>21.10</vt:lpstr>
      <vt:lpstr>21.11</vt:lpstr>
      <vt:lpstr>22.1</vt:lpstr>
      <vt:lpstr>22.2</vt:lpstr>
      <vt:lpstr>22.3</vt:lpstr>
      <vt:lpstr>22.4</vt:lpstr>
      <vt:lpstr>22.5</vt:lpstr>
      <vt:lpstr>22.6</vt:lpstr>
      <vt:lpstr>23.1</vt:lpstr>
      <vt:lpstr>23.2</vt:lpstr>
      <vt:lpstr>23.3</vt:lpstr>
      <vt:lpstr>23.4</vt:lpstr>
      <vt:lpstr>23.5</vt:lpstr>
      <vt:lpstr>23.6</vt:lpstr>
      <vt:lpstr>24.1</vt:lpstr>
      <vt:lpstr>24.2</vt:lpstr>
      <vt:lpstr>24.3</vt:lpstr>
      <vt:lpstr>25.1</vt:lpstr>
      <vt:lpstr>25.2</vt:lpstr>
      <vt:lpstr>26.1</vt:lpstr>
      <vt:lpstr>26.2</vt:lpstr>
      <vt:lpstr>26.3</vt:lpstr>
      <vt:lpstr>26.4</vt:lpstr>
      <vt:lpstr>26.5</vt:lpstr>
      <vt:lpstr>26.6</vt:lpstr>
      <vt:lpstr>27.1</vt:lpstr>
      <vt:lpstr>27.2</vt:lpstr>
      <vt:lpstr>27.3</vt:lpstr>
      <vt:lpstr>27.4</vt:lpstr>
      <vt:lpstr>Aljibe</vt:lpstr>
      <vt:lpstr>'01.- Presupuesto'!Área_de_impresión</vt:lpstr>
      <vt:lpstr>'02.- Gastos Generales'!Área_de_impresión</vt:lpstr>
      <vt:lpstr>Arena</vt:lpstr>
      <vt:lpstr>Ayudante</vt:lpstr>
      <vt:lpstr>Base100</vt:lpstr>
      <vt:lpstr>Base50</vt:lpstr>
      <vt:lpstr>Bolones</vt:lpstr>
      <vt:lpstr>Cerámista</vt:lpstr>
      <vt:lpstr>CuboDren</vt:lpstr>
      <vt:lpstr>Enf</vt:lpstr>
      <vt:lpstr>Excavadora</vt:lpstr>
      <vt:lpstr>Grava</vt:lpstr>
      <vt:lpstr>Gravilla</vt:lpstr>
      <vt:lpstr>HormG15</vt:lpstr>
      <vt:lpstr>HormG20</vt:lpstr>
      <vt:lpstr>HormG25</vt:lpstr>
      <vt:lpstr>HormG5</vt:lpstr>
      <vt:lpstr>Jornal</vt:lpstr>
      <vt:lpstr>Maestro</vt:lpstr>
      <vt:lpstr>Met</vt:lpstr>
      <vt:lpstr>Motoniveladora</vt:lpstr>
      <vt:lpstr>Pintor</vt:lpstr>
      <vt:lpstr>Retroexcavadora</vt:lpstr>
      <vt:lpstr>Rodillo</vt:lpstr>
      <vt:lpstr>SCAcmafor</vt:lpstr>
      <vt:lpstr>SCBulldog</vt:lpstr>
      <vt:lpstr>SCHidrosembrado</vt:lpstr>
      <vt:lpstr>SCHoj</vt:lpstr>
      <vt:lpstr>SCSan</vt:lpstr>
      <vt:lpstr>SoldadorA</vt:lpstr>
      <vt:lpstr>SoldadorM</vt:lpstr>
      <vt:lpstr>Tolva</vt:lpstr>
      <vt:lpstr>UF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Contreras Alarcon</dc:creator>
  <cp:keywords/>
  <dc:description/>
  <cp:lastModifiedBy>Claudio Torres Zúñiga</cp:lastModifiedBy>
  <cp:revision/>
  <cp:lastPrinted>2025-06-09T20:31:02Z</cp:lastPrinted>
  <dcterms:created xsi:type="dcterms:W3CDTF">2020-04-30T21:40:59Z</dcterms:created>
  <dcterms:modified xsi:type="dcterms:W3CDTF">2025-07-10T01:44:18Z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0x0101006516AE490CA1F64EA8A33B276239325C</vt:lpwstr>
  </property>
</Properties>
</file>