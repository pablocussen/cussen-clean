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20" windowWidth="14260" windowHeight="11050" activeTab="2"/>
  </bookViews>
  <sheets>
    <sheet name="PP1" sheetId="2" r:id="rId1"/>
    <sheet name="PP2" sheetId="1" r:id="rId2"/>
    <sheet name="Detalle Valores" sheetId="9" r:id="rId3"/>
    <sheet name="Minero" sheetId="4" r:id="rId4"/>
    <sheet name="Hoja2" sheetId="6" r:id="rId5"/>
    <sheet name="DIA" sheetId="8" r:id="rId6"/>
    <sheet name="Hoja1" sheetId="10" r:id="rId7"/>
    <sheet name="Hoja3" sheetId="11" r:id="rId8"/>
    <sheet name="Hoja4" sheetId="12" r:id="rId9"/>
    <sheet name="Hoja5" sheetId="13" r:id="rId10"/>
    <sheet name="Hoja6" sheetId="14" r:id="rId11"/>
  </sheets>
  <definedNames>
    <definedName name="_xlnm._FilterDatabase" localSheetId="7" hidden="1">Hoja3!$H$26:$J$26</definedName>
    <definedName name="_xlnm._FilterDatabase" localSheetId="3" hidden="1">Minero!$A$93:$G$118</definedName>
    <definedName name="_xlnm.Print_Area" localSheetId="0">'PP1'!$A$1:$K$29</definedName>
  </definedNames>
  <calcPr calcId="124519"/>
</workbook>
</file>

<file path=xl/calcChain.xml><?xml version="1.0" encoding="utf-8"?>
<calcChain xmlns="http://schemas.openxmlformats.org/spreadsheetml/2006/main">
  <c r="M14" i="1"/>
  <c r="L14"/>
  <c r="K14"/>
  <c r="J14"/>
  <c r="I14"/>
  <c r="H14"/>
  <c r="G14"/>
  <c r="F14"/>
  <c r="N14" s="1"/>
  <c r="M18"/>
  <c r="L18"/>
  <c r="K18"/>
  <c r="J18"/>
  <c r="I18"/>
  <c r="H18"/>
  <c r="G18"/>
  <c r="F18"/>
  <c r="N18" s="1"/>
  <c r="M13"/>
  <c r="L13"/>
  <c r="K13"/>
  <c r="J13"/>
  <c r="I13"/>
  <c r="H13"/>
  <c r="G13"/>
  <c r="F13"/>
  <c r="N13" s="1"/>
  <c r="M11"/>
  <c r="L11"/>
  <c r="K11"/>
  <c r="J11"/>
  <c r="I11"/>
  <c r="H11"/>
  <c r="G11"/>
  <c r="F11"/>
  <c r="N11" s="1"/>
  <c r="M9"/>
  <c r="L9"/>
  <c r="K9"/>
  <c r="J9"/>
  <c r="I9"/>
  <c r="H9"/>
  <c r="G9"/>
  <c r="F9"/>
  <c r="N9" s="1"/>
  <c r="O22" i="2"/>
  <c r="O21"/>
  <c r="O20"/>
  <c r="M7" i="1"/>
  <c r="L7"/>
  <c r="K7"/>
  <c r="J7"/>
  <c r="I21" i="2"/>
  <c r="H21"/>
  <c r="F19"/>
  <c r="J19"/>
  <c r="F13"/>
  <c r="E19"/>
  <c r="D19"/>
  <c r="C19"/>
  <c r="N27" i="1"/>
  <c r="O27" s="1"/>
  <c r="N25"/>
  <c r="E26" i="9"/>
  <c r="O32" i="2"/>
  <c r="J25"/>
  <c r="E25"/>
  <c r="F45" l="1"/>
  <c r="M37" i="8"/>
  <c r="D12" i="2"/>
  <c r="F20" i="9"/>
  <c r="E19"/>
  <c r="M4"/>
  <c r="F15"/>
  <c r="F4"/>
  <c r="M23"/>
  <c r="M18"/>
  <c r="H15"/>
  <c r="B20" i="1"/>
  <c r="B21" s="1"/>
  <c r="B23" s="1"/>
  <c r="B17" i="12"/>
  <c r="H20" i="1"/>
  <c r="I7" i="2"/>
  <c r="G7"/>
  <c r="C7"/>
  <c r="J7"/>
  <c r="H7" s="1"/>
  <c r="I20" i="1"/>
  <c r="F20"/>
  <c r="F22" s="1"/>
  <c r="B30"/>
  <c r="E13" i="9"/>
  <c r="E12"/>
  <c r="E7" i="2" l="1"/>
  <c r="F7"/>
  <c r="D7"/>
  <c r="M19" i="9"/>
  <c r="B22" i="1"/>
  <c r="G20"/>
  <c r="C23" i="2"/>
  <c r="F23"/>
  <c r="E23"/>
  <c r="D23"/>
  <c r="G23"/>
  <c r="H23"/>
  <c r="I23"/>
  <c r="I15"/>
  <c r="H15"/>
  <c r="F15"/>
  <c r="C15"/>
  <c r="C17" s="1"/>
  <c r="G15"/>
  <c r="E15"/>
  <c r="D15"/>
  <c r="K31"/>
  <c r="K23" i="9"/>
  <c r="J23"/>
  <c r="I23"/>
  <c r="H23"/>
  <c r="G23"/>
  <c r="F23"/>
  <c r="E23"/>
  <c r="K19"/>
  <c r="J19"/>
  <c r="I19"/>
  <c r="H19"/>
  <c r="G19"/>
  <c r="F19"/>
  <c r="K18"/>
  <c r="J18"/>
  <c r="I18"/>
  <c r="H18"/>
  <c r="G18"/>
  <c r="F18"/>
  <c r="E18"/>
  <c r="H14"/>
  <c r="G14"/>
  <c r="F14"/>
  <c r="E14"/>
  <c r="G12"/>
  <c r="F12"/>
  <c r="G11"/>
  <c r="F11"/>
  <c r="E11"/>
  <c r="F10"/>
  <c r="E10"/>
  <c r="E9"/>
  <c r="E8"/>
  <c r="E7"/>
  <c r="E6"/>
  <c r="E5"/>
  <c r="G4"/>
  <c r="E4"/>
  <c r="G3"/>
  <c r="G15" s="1"/>
  <c r="F3"/>
  <c r="E3"/>
  <c r="C29" i="2"/>
  <c r="E15" i="9" l="1"/>
  <c r="L23"/>
  <c r="M9"/>
  <c r="M5"/>
  <c r="M6"/>
  <c r="M7"/>
  <c r="M8"/>
  <c r="L19"/>
  <c r="M10"/>
  <c r="M11"/>
  <c r="M12"/>
  <c r="M13"/>
  <c r="M14"/>
  <c r="M3"/>
  <c r="L18"/>
  <c r="G29" i="2"/>
  <c r="D29"/>
  <c r="D25"/>
  <c r="E25" i="9" l="1"/>
  <c r="E27"/>
  <c r="E28" s="1"/>
  <c r="J31" i="2"/>
  <c r="L19"/>
  <c r="D21"/>
  <c r="G19"/>
  <c r="G20" s="1"/>
  <c r="E21"/>
  <c r="H19"/>
  <c r="F21"/>
  <c r="I19"/>
  <c r="M15" i="9"/>
  <c r="L20"/>
  <c r="B8" i="6"/>
  <c r="B5"/>
  <c r="B4"/>
  <c r="F28" i="9" l="1"/>
  <c r="E20" i="1"/>
  <c r="D16"/>
  <c r="D8"/>
  <c r="D20" l="1"/>
  <c r="J15" i="2"/>
  <c r="J11"/>
  <c r="F11" s="1"/>
  <c r="C21"/>
  <c r="J21" s="1"/>
  <c r="J23"/>
  <c r="J27"/>
  <c r="H27" s="1"/>
  <c r="F27"/>
  <c r="G27"/>
  <c r="D27"/>
  <c r="C27"/>
  <c r="J28"/>
  <c r="K28" s="1"/>
  <c r="C7" i="1"/>
  <c r="D7" s="1"/>
  <c r="N26" l="1"/>
  <c r="H11" i="2"/>
  <c r="C11"/>
  <c r="L31"/>
  <c r="C20" i="1"/>
  <c r="C21" s="1"/>
  <c r="B27" s="1"/>
  <c r="G25" i="2"/>
  <c r="I27"/>
  <c r="C25"/>
  <c r="G11"/>
  <c r="E11"/>
  <c r="E13" s="1"/>
  <c r="I11"/>
  <c r="G17"/>
  <c r="D11"/>
  <c r="J29"/>
  <c r="K29" s="1"/>
  <c r="E27"/>
  <c r="M20" i="1"/>
  <c r="L20"/>
  <c r="J20"/>
  <c r="N2"/>
  <c r="F8" i="2"/>
  <c r="I7" i="1"/>
  <c r="G7"/>
  <c r="H7"/>
  <c r="D17" i="2" l="1"/>
  <c r="J16"/>
  <c r="J24"/>
  <c r="C13"/>
  <c r="J12"/>
  <c r="C14"/>
  <c r="J9"/>
  <c r="J8"/>
  <c r="M8" s="1"/>
  <c r="J5"/>
  <c r="C4"/>
  <c r="J4" s="1"/>
  <c r="K4" s="1"/>
  <c r="J3"/>
  <c r="K8" l="1"/>
  <c r="K16"/>
  <c r="K12"/>
  <c r="K5"/>
  <c r="J13"/>
  <c r="K24"/>
  <c r="K9"/>
  <c r="J17"/>
  <c r="N16" i="1"/>
  <c r="B25" l="1"/>
  <c r="J33" i="2"/>
  <c r="I33" s="1"/>
  <c r="K17"/>
  <c r="K25"/>
  <c r="K13"/>
  <c r="N15" i="1"/>
  <c r="N17"/>
  <c r="N12"/>
  <c r="N10"/>
  <c r="N8"/>
  <c r="F7"/>
  <c r="N7" s="1"/>
  <c r="N5"/>
  <c r="K20"/>
  <c r="L33" i="2" l="1"/>
  <c r="F25" i="1"/>
  <c r="N6"/>
  <c r="N4"/>
  <c r="N20" l="1"/>
  <c r="J20" i="2"/>
  <c r="J32" l="1"/>
  <c r="N28" i="1"/>
  <c r="O26"/>
  <c r="N22"/>
  <c r="N33"/>
  <c r="F26"/>
  <c r="F28" s="1"/>
  <c r="B26"/>
  <c r="K20" i="2"/>
  <c r="K32" s="1"/>
  <c r="K21"/>
  <c r="M21" l="1"/>
  <c r="N32"/>
  <c r="P32" s="1"/>
  <c r="P33" s="1"/>
  <c r="I32"/>
  <c r="I34" s="1"/>
  <c r="B28" i="1"/>
  <c r="B31" s="1"/>
  <c r="F31" s="1"/>
</calcChain>
</file>

<file path=xl/sharedStrings.xml><?xml version="1.0" encoding="utf-8"?>
<sst xmlns="http://schemas.openxmlformats.org/spreadsheetml/2006/main" count="1176" uniqueCount="336">
  <si>
    <t>Contrato</t>
  </si>
  <si>
    <t>Concesión Minera</t>
  </si>
  <si>
    <t>ICC</t>
  </si>
  <si>
    <t>RCA</t>
  </si>
  <si>
    <t>RTB</t>
  </si>
  <si>
    <t>Conexión</t>
  </si>
  <si>
    <t xml:space="preserve"> PROYECTO</t>
  </si>
  <si>
    <t>POTENCIA</t>
  </si>
  <si>
    <t>Peñasco Redondo</t>
  </si>
  <si>
    <t>Los Quillayes</t>
  </si>
  <si>
    <t>Calle Larga</t>
  </si>
  <si>
    <t>Doña Rubena</t>
  </si>
  <si>
    <t>Monte Verde</t>
  </si>
  <si>
    <t>El Rosal</t>
  </si>
  <si>
    <t>Campanario</t>
  </si>
  <si>
    <t>Doña Petronia</t>
  </si>
  <si>
    <t>El Sauce</t>
  </si>
  <si>
    <t>Doña Alicia</t>
  </si>
  <si>
    <t>MW</t>
  </si>
  <si>
    <t>Agrovisión</t>
  </si>
  <si>
    <t>SCR</t>
  </si>
  <si>
    <t>Villa Alegre</t>
  </si>
  <si>
    <t>La Palma</t>
  </si>
  <si>
    <t>El Cuzco</t>
  </si>
  <si>
    <t>SUBTOTAL PP1</t>
  </si>
  <si>
    <t>SUBTOTAL PP2</t>
  </si>
  <si>
    <t>TOTAL</t>
  </si>
  <si>
    <t>Proyecto</t>
  </si>
  <si>
    <t>Hito1</t>
  </si>
  <si>
    <t>Hito2</t>
  </si>
  <si>
    <t>Hito3</t>
  </si>
  <si>
    <t>Hito4</t>
  </si>
  <si>
    <t>Hito5</t>
  </si>
  <si>
    <t>Hito6</t>
  </si>
  <si>
    <t>Hito7</t>
  </si>
  <si>
    <t>DIA</t>
  </si>
  <si>
    <t>Mineros</t>
  </si>
  <si>
    <t>Potencia</t>
  </si>
  <si>
    <t>Curamachi</t>
  </si>
  <si>
    <t>EP</t>
  </si>
  <si>
    <t>Pagado</t>
  </si>
  <si>
    <t>Debe Pagar</t>
  </si>
  <si>
    <t>Doña Rodriga</t>
  </si>
  <si>
    <t>Papudo-Quinquimo</t>
  </si>
  <si>
    <t>Anticipo 1</t>
  </si>
  <si>
    <t>Doña Sonia</t>
  </si>
  <si>
    <t>Doña Ximena</t>
  </si>
  <si>
    <t>Doña Elvira</t>
  </si>
  <si>
    <t>US/MWp</t>
  </si>
  <si>
    <t>Anticipo 2</t>
  </si>
  <si>
    <t>Doña Mago</t>
  </si>
  <si>
    <t>IFC</t>
  </si>
  <si>
    <t>Maklube</t>
  </si>
  <si>
    <t>V-90-2021</t>
  </si>
  <si>
    <t>Juzgado de Letras de Colina</t>
  </si>
  <si>
    <t>MVC Solar 48 SpA</t>
  </si>
  <si>
    <t>Exploración - Pedimento</t>
  </si>
  <si>
    <t>DOÑA RUBENA</t>
  </si>
  <si>
    <t>V-42-2021</t>
  </si>
  <si>
    <t>1º Juzgado de Letras de Talca</t>
  </si>
  <si>
    <t>MVC Solar 19 SpA</t>
  </si>
  <si>
    <t>LOS QUILLAYES</t>
  </si>
  <si>
    <t>V-14-2021</t>
  </si>
  <si>
    <t>Juzgado de Letras de San Javier</t>
  </si>
  <si>
    <t>MVC Solar 30 SpA</t>
  </si>
  <si>
    <t>CALLE LARGA</t>
  </si>
  <si>
    <t>V-7-2021</t>
  </si>
  <si>
    <t>Juzgado de Letras de Yungay</t>
  </si>
  <si>
    <t>MVC Solar 5 SpA</t>
  </si>
  <si>
    <t>LA PALMA</t>
  </si>
  <si>
    <t>V-34-2021</t>
  </si>
  <si>
    <t>Juzgado de Letras de La Ligua</t>
  </si>
  <si>
    <t>MVC Solar 46 SpA</t>
  </si>
  <si>
    <t>PAPUDO QUINQUIMO</t>
  </si>
  <si>
    <t>V-23-2021</t>
  </si>
  <si>
    <t>2º Juzgado Civil de Chillán</t>
  </si>
  <si>
    <t>MVC Solar 56 SpA</t>
  </si>
  <si>
    <t>DOÑA ELVIRA</t>
  </si>
  <si>
    <t>V-96-2020</t>
  </si>
  <si>
    <t>2º Juzgado de Letras de Linares</t>
  </si>
  <si>
    <t>07309-0011-2</t>
  </si>
  <si>
    <t>MVC Solar 22 SpA</t>
  </si>
  <si>
    <t>VILLA ALEGRE MVC</t>
  </si>
  <si>
    <t>07201-0087-8</t>
  </si>
  <si>
    <t>MVC Solar 44 SpA</t>
  </si>
  <si>
    <t>DOÑA RODRIGA 2</t>
  </si>
  <si>
    <t>V-99-2020</t>
  </si>
  <si>
    <t>3º Juzgado de Letras de Talca</t>
  </si>
  <si>
    <t>07201-0088-6</t>
  </si>
  <si>
    <t>DOÑA RODRIGA 1</t>
  </si>
  <si>
    <t>V-105-2020</t>
  </si>
  <si>
    <t>07303-1212-1</t>
  </si>
  <si>
    <t>MVC Solar 24 SpA</t>
  </si>
  <si>
    <t>CURAMACHI 1</t>
  </si>
  <si>
    <t>1º Juzgado de Letras de Linares</t>
  </si>
  <si>
    <t>07303-1211-3</t>
  </si>
  <si>
    <t>CURAMACHI 2</t>
  </si>
  <si>
    <t>V-13-2020</t>
  </si>
  <si>
    <t>16109-0008-5</t>
  </si>
  <si>
    <t>MVC Solar 11 SpA</t>
  </si>
  <si>
    <t>AGROVISION</t>
  </si>
  <si>
    <t>V-20-2020</t>
  </si>
  <si>
    <t>07309-0009-0</t>
  </si>
  <si>
    <t>V-19-2020</t>
  </si>
  <si>
    <t>07303-1189-3</t>
  </si>
  <si>
    <t>MACHICURA</t>
  </si>
  <si>
    <t>V-174-2019</t>
  </si>
  <si>
    <t>1º Juzgado de Letras de Los Angeles</t>
  </si>
  <si>
    <t>08413-0170-6</t>
  </si>
  <si>
    <t>MVC SOLAR 13 SPA</t>
  </si>
  <si>
    <t>Exploración - Constituida</t>
  </si>
  <si>
    <t>PEÑASCO REDONDO</t>
  </si>
  <si>
    <t>V-244-2019</t>
  </si>
  <si>
    <t>08412-0124-8</t>
  </si>
  <si>
    <t>MVC SOLAR 60 SPA</t>
  </si>
  <si>
    <t>POLCURA</t>
  </si>
  <si>
    <t>V-523-2018</t>
  </si>
  <si>
    <t>06304-0106-2</t>
  </si>
  <si>
    <t>MVC SOLAR 40 SPA</t>
  </si>
  <si>
    <t>SAN RAFAEL</t>
  </si>
  <si>
    <t>CAUSA ROL</t>
  </si>
  <si>
    <t>JUZGADO</t>
  </si>
  <si>
    <t>ROL NACIONAL</t>
  </si>
  <si>
    <t>TITULAR</t>
  </si>
  <si>
    <t>TIPO</t>
  </si>
  <si>
    <t>CONCESION</t>
  </si>
  <si>
    <t>Acreditación</t>
  </si>
  <si>
    <t>UF</t>
  </si>
  <si>
    <t>Total a Pagar</t>
  </si>
  <si>
    <t>ORG</t>
  </si>
  <si>
    <t>DGA</t>
  </si>
  <si>
    <t>CONAF</t>
  </si>
  <si>
    <t>SSSanitarios</t>
  </si>
  <si>
    <t>SAG</t>
  </si>
  <si>
    <t>SERNAGEOMIN</t>
  </si>
  <si>
    <t>SALUD</t>
  </si>
  <si>
    <t>DOH</t>
  </si>
  <si>
    <t>IMUNICIPALIDAD</t>
  </si>
  <si>
    <t>ENERGIA</t>
  </si>
  <si>
    <t>SubPescaAgri</t>
  </si>
  <si>
    <t>CONADI</t>
  </si>
  <si>
    <t>Turismo</t>
  </si>
  <si>
    <t>VIVIENDA</t>
  </si>
  <si>
    <t>MEDIO AMBIENTE</t>
  </si>
  <si>
    <t>DIREC VIALIDAD</t>
  </si>
  <si>
    <t>MOP</t>
  </si>
  <si>
    <t>BIENES NACIONALES</t>
  </si>
  <si>
    <t>AGRICULTURA</t>
  </si>
  <si>
    <t>TRANS Y TELE</t>
  </si>
  <si>
    <t>NP</t>
  </si>
  <si>
    <t>Valor Dólar</t>
  </si>
  <si>
    <t>Siguientes PP1</t>
  </si>
  <si>
    <t>HITO 1</t>
  </si>
  <si>
    <t>HITO 2</t>
  </si>
  <si>
    <t>HITO 3</t>
  </si>
  <si>
    <t>HITO 4</t>
  </si>
  <si>
    <t>HITO 5</t>
  </si>
  <si>
    <t>HITO 6</t>
  </si>
  <si>
    <t>HITO 7</t>
  </si>
  <si>
    <t>HITO 8</t>
  </si>
  <si>
    <t>SOCIEDAD</t>
  </si>
  <si>
    <t>R.U.T</t>
  </si>
  <si>
    <t>MWp</t>
  </si>
  <si>
    <t>MVC SOLAR 56 SPA</t>
  </si>
  <si>
    <t>76.890.047-7</t>
  </si>
  <si>
    <t>MOU 1</t>
  </si>
  <si>
    <t>30.000 usd</t>
  </si>
  <si>
    <t>Doña Alicia (expatagua)</t>
  </si>
  <si>
    <t>MVC SOLAR 20 SPA</t>
  </si>
  <si>
    <t>76.864.169-2</t>
  </si>
  <si>
    <t>MOU transitorio</t>
  </si>
  <si>
    <t>26.750 usd</t>
  </si>
  <si>
    <t>Doña Mago (excadena)</t>
  </si>
  <si>
    <t>MVC SOLAR 32 SPA</t>
  </si>
  <si>
    <t>76.869.886-4</t>
  </si>
  <si>
    <t>MOU 2</t>
  </si>
  <si>
    <t>23.500 usd</t>
  </si>
  <si>
    <t>Santa María</t>
  </si>
  <si>
    <t>MVC SOLAR 49 SPA</t>
  </si>
  <si>
    <t>76.880.921-6</t>
  </si>
  <si>
    <t>MVC SOLAR 51 SPA</t>
  </si>
  <si>
    <t>76.890.025-6</t>
  </si>
  <si>
    <t>76.890.054-K</t>
  </si>
  <si>
    <t>MVC SOLAR 35 SPA</t>
  </si>
  <si>
    <t>76.869.889-9</t>
  </si>
  <si>
    <t>MVC SOLAR 12 SPA</t>
  </si>
  <si>
    <t>76.864.161-7</t>
  </si>
  <si>
    <t>MVC SOLAR 19 SPA</t>
  </si>
  <si>
    <t>76.864.168-4</t>
  </si>
  <si>
    <t>MVC SOLAR 30 SPA</t>
  </si>
  <si>
    <t>76.869.884-8</t>
  </si>
  <si>
    <t>Peñuela</t>
  </si>
  <si>
    <t>Maqlube</t>
  </si>
  <si>
    <t>MVC SOLAR  41 SPA</t>
  </si>
  <si>
    <t>76.880.906-2</t>
  </si>
  <si>
    <t xml:space="preserve">MVC SOLAR 48 SPA </t>
  </si>
  <si>
    <t>76.880.918-6</t>
  </si>
  <si>
    <t>MVC SOLAR 31 SPA</t>
  </si>
  <si>
    <t>76.869.885-6</t>
  </si>
  <si>
    <t>MVC SOLAR 22 SPA</t>
  </si>
  <si>
    <t>76.864.172-2</t>
  </si>
  <si>
    <t xml:space="preserve"> MVC SOLAR 5 SPA</t>
  </si>
  <si>
    <t>76.864.153-6</t>
  </si>
  <si>
    <t>CMN</t>
  </si>
  <si>
    <t>Desarrollo Social y Flia</t>
  </si>
  <si>
    <t>SEC</t>
  </si>
  <si>
    <t>GORE</t>
  </si>
  <si>
    <t>PAC</t>
  </si>
  <si>
    <t>seba</t>
  </si>
  <si>
    <t>marcela</t>
  </si>
  <si>
    <t>lista las puertas</t>
  </si>
  <si>
    <t>baño ok</t>
  </si>
  <si>
    <t>luca</t>
  </si>
  <si>
    <t>raul</t>
  </si>
  <si>
    <t>calicata</t>
  </si>
  <si>
    <t>sello fundaciones</t>
  </si>
  <si>
    <t>Sept</t>
  </si>
  <si>
    <t>inst faena</t>
  </si>
  <si>
    <t>Santa Maria</t>
  </si>
  <si>
    <t>Papudo</t>
  </si>
  <si>
    <t>CONCESIÓN</t>
  </si>
  <si>
    <t>TIPO CONCESIÓN</t>
  </si>
  <si>
    <t>ESTADO</t>
  </si>
  <si>
    <t>ROL NAC.</t>
  </si>
  <si>
    <t> AGROVISION</t>
  </si>
  <si>
    <t>Exploración</t>
  </si>
  <si>
    <t>Constituida</t>
  </si>
  <si>
    <t> CALLE LARGA</t>
  </si>
  <si>
    <t>En tramite - Pedim.</t>
  </si>
  <si>
    <t> CURAMACHI 1</t>
  </si>
  <si>
    <t> CURAMACHI 2</t>
  </si>
  <si>
    <t> DOÑA ELVIRA</t>
  </si>
  <si>
    <t>16101-0019-4</t>
  </si>
  <si>
    <t> DOÑA RODRIGA 1</t>
  </si>
  <si>
    <t> DOÑA RODRIGA 2</t>
  </si>
  <si>
    <t> DOÑA RUBENA</t>
  </si>
  <si>
    <t> LA PALMA</t>
  </si>
  <si>
    <t> LOS QUILLAYES</t>
  </si>
  <si>
    <t> MACHICURA</t>
  </si>
  <si>
    <t> PAPUDO QUINQUIMO</t>
  </si>
  <si>
    <t>05201-1231-6</t>
  </si>
  <si>
    <t> PEÑASCO REDONDO</t>
  </si>
  <si>
    <t> POLCURA</t>
  </si>
  <si>
    <t> SAN RAFAEL</t>
  </si>
  <si>
    <t> VILLA ALEGRE MVC</t>
  </si>
  <si>
    <t>«</t>
  </si>
  <si>
    <t>si</t>
  </si>
  <si>
    <t>ICSARA</t>
  </si>
  <si>
    <t>Ingreso DIA</t>
  </si>
  <si>
    <t>Total</t>
  </si>
  <si>
    <t>Total Pesos</t>
  </si>
  <si>
    <t>Valor Dólar 19-07-2021</t>
  </si>
  <si>
    <t>Total Dólar</t>
  </si>
  <si>
    <t>Adenda</t>
  </si>
  <si>
    <t>CorpNacDesar Indígena</t>
  </si>
  <si>
    <t>07310-0541-9</t>
  </si>
  <si>
    <t>13203-0648-1</t>
  </si>
  <si>
    <t>07203-0076-1</t>
  </si>
  <si>
    <t>100UF</t>
  </si>
  <si>
    <t>resp adenda</t>
  </si>
  <si>
    <t>fecha</t>
  </si>
  <si>
    <t>Agrov}</t>
  </si>
  <si>
    <t>acreditaciones</t>
  </si>
  <si>
    <t>min curama</t>
  </si>
  <si>
    <t>min dona R</t>
  </si>
  <si>
    <t>RCA dona R</t>
  </si>
  <si>
    <t>DIA Agrovision</t>
  </si>
  <si>
    <t xml:space="preserve"> </t>
  </si>
  <si>
    <t>2da</t>
  </si>
  <si>
    <t>A espera del aviso radial</t>
  </si>
  <si>
    <t>Contestado 04/10</t>
  </si>
  <si>
    <t>cont 28-9</t>
  </si>
  <si>
    <t>conte 30-9</t>
  </si>
  <si>
    <t>contes 20-9</t>
  </si>
  <si>
    <t>va mal con 4 obs</t>
  </si>
  <si>
    <t>curamachi</t>
  </si>
  <si>
    <t>curamachi ito3</t>
  </si>
  <si>
    <t>pesos chilenos</t>
  </si>
  <si>
    <t>servidumbre curamachi 5%</t>
  </si>
  <si>
    <t>CAV</t>
  </si>
  <si>
    <t>antes sin nada</t>
  </si>
  <si>
    <t>OBS</t>
  </si>
  <si>
    <t>OK</t>
  </si>
  <si>
    <t>OK al principio</t>
  </si>
  <si>
    <t>OBS al principio</t>
  </si>
  <si>
    <t>Venta</t>
  </si>
  <si>
    <t>debe</t>
  </si>
  <si>
    <t>Valor Dólar 29-10-2021</t>
  </si>
  <si>
    <t>remuneraciones</t>
  </si>
  <si>
    <t> DOÑA ALICIA</t>
  </si>
  <si>
    <t>05502-0297-2</t>
  </si>
  <si>
    <t>MVC Solar 20 SpA</t>
  </si>
  <si>
    <t>V-100-2021</t>
  </si>
  <si>
    <t>Juzgado de Letras de La Calera</t>
  </si>
  <si>
    <t> DOÑA PETRONIA</t>
  </si>
  <si>
    <t>MVC Solar 51 SpA</t>
  </si>
  <si>
    <t>V-116-2021</t>
  </si>
  <si>
    <t>Juzgado de Letras de Peñaflor</t>
  </si>
  <si>
    <t> EL CUZCO</t>
  </si>
  <si>
    <t>MVC Solar 31 SpA</t>
  </si>
  <si>
    <t>V-80-2021</t>
  </si>
  <si>
    <t>Juzgado de Letras y Gar.de Litueche</t>
  </si>
  <si>
    <t> EL ROSAL</t>
  </si>
  <si>
    <t>MVC Solar 12 SpA</t>
  </si>
  <si>
    <t>V-148-2021</t>
  </si>
  <si>
    <t>2º Juzgado de Letras de Los Angeles</t>
  </si>
  <si>
    <t>16109-0029-8</t>
  </si>
  <si>
    <t> MAKLUBE</t>
  </si>
  <si>
    <t>05502-0296-4</t>
  </si>
  <si>
    <t>MVC Solar 41 SpA</t>
  </si>
  <si>
    <t>V-101-2021</t>
  </si>
  <si>
    <t> PAPUDO-QUINQUIMO</t>
  </si>
  <si>
    <t>5 meses para responder icsara</t>
  </si>
  <si>
    <t>R3spuesta Adenda 2</t>
  </si>
  <si>
    <t>Curamachi Rev02</t>
  </si>
  <si>
    <t>13505-0050-9</t>
  </si>
  <si>
    <t> DOÑA VALENTINA</t>
  </si>
  <si>
    <t>MVC SOLAR 52 SPA</t>
  </si>
  <si>
    <t>V-3-2019</t>
  </si>
  <si>
    <t>Juzgado de Letras y Gar.de Coelemu</t>
  </si>
  <si>
    <t>envio pac</t>
  </si>
  <si>
    <t>Cerrado con dos obs. Por uso de suelo y PAS</t>
  </si>
  <si>
    <t>14-2 se sube respuesta comité</t>
  </si>
  <si>
    <t>Se aplazó 60+30 desde el 03-02</t>
  </si>
  <si>
    <t>Lo Mataron, no ingresaron respuesta a Fin de Enero</t>
  </si>
  <si>
    <t>08401-0810-4</t>
  </si>
  <si>
    <t>DXF</t>
  </si>
  <si>
    <t>SHP</t>
  </si>
  <si>
    <t>XLS</t>
  </si>
  <si>
    <t>Cerrar</t>
  </si>
  <si>
    <t>villa alegre</t>
  </si>
  <si>
    <t>agrovision</t>
  </si>
  <si>
    <t>src</t>
  </si>
  <si>
    <t>contrato</t>
  </si>
  <si>
    <t>|12345e3</t>
  </si>
  <si>
    <t>ZX</t>
  </si>
</sst>
</file>

<file path=xl/styles.xml><?xml version="1.0" encoding="utf-8"?>
<styleSheet xmlns="http://schemas.openxmlformats.org/spreadsheetml/2006/main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 * #,##0.00_ ;_ * \-#,##0.00_ ;_ * &quot;-&quot;_ ;_ @_ "/>
    <numFmt numFmtId="165" formatCode="&quot;$&quot;#,##0.00"/>
    <numFmt numFmtId="166" formatCode="&quot;$&quot;#,##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6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444444"/>
      <name val="Arial"/>
      <family val="2"/>
    </font>
    <font>
      <sz val="11"/>
      <color theme="1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rgb="FF231824"/>
      <name val="Arial"/>
      <family val="2"/>
    </font>
    <font>
      <sz val="11"/>
      <color rgb="FF231824"/>
      <name val="Arial"/>
      <family val="2"/>
    </font>
    <font>
      <sz val="11"/>
      <color rgb="FF231824"/>
      <name val="Arial"/>
      <family val="2"/>
    </font>
    <font>
      <sz val="8"/>
      <color rgb="FF8898AA"/>
      <name val="Arial"/>
      <family val="2"/>
    </font>
    <font>
      <sz val="8"/>
      <color rgb="FF231824"/>
      <name val="Arial"/>
      <family val="2"/>
    </font>
    <font>
      <sz val="7"/>
      <color rgb="FF000000"/>
      <name val="Verdana"/>
      <family val="2"/>
    </font>
    <font>
      <sz val="8"/>
      <color rgb="FF231824"/>
      <name val="Arial"/>
      <family val="2"/>
    </font>
    <font>
      <sz val="11"/>
      <color rgb="FF231824"/>
      <name val="Calibri"/>
      <family val="2"/>
      <scheme val="minor"/>
    </font>
    <font>
      <sz val="11"/>
      <color rgb="FF231824"/>
      <name val="Calibri"/>
      <family val="2"/>
      <scheme val="minor"/>
    </font>
    <font>
      <b/>
      <sz val="14"/>
      <color rgb="FF8898AA"/>
      <name val="Arial"/>
      <family val="2"/>
    </font>
    <font>
      <sz val="11"/>
      <color rgb="FF231824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1" applyNumberFormat="0" applyAlignment="0" applyProtection="0"/>
    <xf numFmtId="9" fontId="1" fillId="0" borderId="0" applyFont="0" applyFill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</cellStyleXfs>
  <cellXfs count="151">
    <xf numFmtId="0" fontId="0" fillId="0" borderId="0" xfId="0"/>
    <xf numFmtId="0" fontId="0" fillId="0" borderId="2" xfId="0" applyBorder="1" applyAlignment="1">
      <alignment horizontal="center"/>
    </xf>
    <xf numFmtId="0" fontId="4" fillId="0" borderId="2" xfId="3" applyFont="1" applyFill="1" applyBorder="1" applyAlignment="1">
      <alignment horizontal="center" vertical="center"/>
    </xf>
    <xf numFmtId="0" fontId="4" fillId="0" borderId="3" xfId="3" applyFont="1" applyFill="1" applyBorder="1" applyAlignment="1">
      <alignment horizontal="center" vertical="center"/>
    </xf>
    <xf numFmtId="42" fontId="4" fillId="0" borderId="2" xfId="2" applyFont="1" applyFill="1" applyBorder="1" applyAlignment="1">
      <alignment horizontal="center" vertical="center"/>
    </xf>
    <xf numFmtId="42" fontId="3" fillId="0" borderId="2" xfId="0" applyNumberFormat="1" applyFont="1" applyBorder="1"/>
    <xf numFmtId="0" fontId="4" fillId="4" borderId="2" xfId="3" applyFont="1" applyFill="1" applyBorder="1" applyAlignment="1">
      <alignment horizontal="center" vertical="center"/>
    </xf>
    <xf numFmtId="42" fontId="4" fillId="0" borderId="0" xfId="2" applyFont="1" applyFill="1" applyBorder="1" applyAlignment="1">
      <alignment horizontal="center" vertical="center"/>
    </xf>
    <xf numFmtId="42" fontId="3" fillId="0" borderId="0" xfId="0" applyNumberFormat="1" applyFont="1" applyBorder="1"/>
    <xf numFmtId="0" fontId="4" fillId="0" borderId="0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0" applyNumberFormat="1"/>
    <xf numFmtId="42" fontId="0" fillId="0" borderId="0" xfId="2" applyFont="1"/>
    <xf numFmtId="0" fontId="5" fillId="0" borderId="2" xfId="3" applyFont="1" applyFill="1" applyBorder="1" applyAlignment="1">
      <alignment horizontal="center" vertical="center"/>
    </xf>
    <xf numFmtId="0" fontId="0" fillId="0" borderId="2" xfId="0" applyBorder="1"/>
    <xf numFmtId="41" fontId="6" fillId="0" borderId="2" xfId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41" fontId="0" fillId="5" borderId="2" xfId="1" applyFont="1" applyFill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16" fontId="0" fillId="0" borderId="0" xfId="1" applyNumberFormat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6" borderId="2" xfId="1" applyFont="1" applyFill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2" fontId="0" fillId="0" borderId="2" xfId="2" applyFont="1" applyBorder="1"/>
    <xf numFmtId="0" fontId="8" fillId="7" borderId="2" xfId="0" applyFont="1" applyFill="1" applyBorder="1" applyAlignment="1">
      <alignment horizontal="right"/>
    </xf>
    <xf numFmtId="42" fontId="8" fillId="7" borderId="2" xfId="2" applyFont="1" applyFill="1" applyBorder="1"/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wrapText="1"/>
    </xf>
    <xf numFmtId="0" fontId="9" fillId="0" borderId="0" xfId="0" applyFont="1"/>
    <xf numFmtId="41" fontId="4" fillId="0" borderId="2" xfId="1" applyFont="1" applyFill="1" applyBorder="1" applyAlignment="1">
      <alignment horizontal="center" vertical="center"/>
    </xf>
    <xf numFmtId="41" fontId="3" fillId="0" borderId="2" xfId="1" applyFont="1" applyBorder="1" applyAlignment="1">
      <alignment horizontal="center"/>
    </xf>
    <xf numFmtId="0" fontId="4" fillId="3" borderId="2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/>
    </xf>
    <xf numFmtId="3" fontId="12" fillId="0" borderId="0" xfId="0" applyNumberFormat="1" applyFont="1"/>
    <xf numFmtId="3" fontId="13" fillId="0" borderId="2" xfId="0" applyNumberFormat="1" applyFont="1" applyBorder="1"/>
    <xf numFmtId="41" fontId="10" fillId="0" borderId="2" xfId="0" applyNumberFormat="1" applyFont="1" applyBorder="1"/>
    <xf numFmtId="0" fontId="4" fillId="3" borderId="5" xfId="3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 vertical="center" textRotation="46"/>
    </xf>
    <xf numFmtId="0" fontId="14" fillId="0" borderId="2" xfId="0" applyFont="1" applyBorder="1" applyAlignment="1">
      <alignment horizontal="right"/>
    </xf>
    <xf numFmtId="0" fontId="0" fillId="0" borderId="2" xfId="0" applyBorder="1" applyAlignment="1">
      <alignment wrapText="1"/>
    </xf>
    <xf numFmtId="41" fontId="0" fillId="0" borderId="2" xfId="0" applyNumberFormat="1" applyBorder="1"/>
    <xf numFmtId="0" fontId="2" fillId="9" borderId="2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10" fontId="15" fillId="10" borderId="9" xfId="4" applyNumberFormat="1" applyFont="1" applyFill="1" applyBorder="1" applyAlignment="1">
      <alignment horizontal="center" vertical="center"/>
    </xf>
    <xf numFmtId="10" fontId="15" fillId="10" borderId="0" xfId="4" applyNumberFormat="1" applyFont="1" applyFill="1" applyBorder="1" applyAlignment="1">
      <alignment horizontal="center" vertical="center"/>
    </xf>
    <xf numFmtId="10" fontId="15" fillId="10" borderId="2" xfId="4" applyNumberFormat="1" applyFont="1" applyFill="1" applyBorder="1" applyAlignment="1">
      <alignment horizontal="center" vertical="center"/>
    </xf>
    <xf numFmtId="0" fontId="16" fillId="0" borderId="0" xfId="0" applyFont="1"/>
    <xf numFmtId="0" fontId="15" fillId="11" borderId="7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0" fontId="16" fillId="12" borderId="2" xfId="0" applyFont="1" applyFill="1" applyBorder="1"/>
    <xf numFmtId="0" fontId="15" fillId="0" borderId="8" xfId="0" applyFont="1" applyBorder="1"/>
    <xf numFmtId="0" fontId="15" fillId="0" borderId="7" xfId="0" applyFont="1" applyBorder="1"/>
    <xf numFmtId="166" fontId="16" fillId="0" borderId="0" xfId="0" applyNumberFormat="1" applyFont="1"/>
    <xf numFmtId="0" fontId="16" fillId="13" borderId="2" xfId="0" applyFont="1" applyFill="1" applyBorder="1"/>
    <xf numFmtId="0" fontId="16" fillId="11" borderId="2" xfId="0" applyFont="1" applyFill="1" applyBorder="1"/>
    <xf numFmtId="0" fontId="15" fillId="11" borderId="6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165" fontId="0" fillId="0" borderId="0" xfId="0" applyNumberFormat="1"/>
    <xf numFmtId="0" fontId="15" fillId="10" borderId="11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right"/>
    </xf>
    <xf numFmtId="9" fontId="0" fillId="0" borderId="0" xfId="4" applyFont="1"/>
    <xf numFmtId="16" fontId="0" fillId="0" borderId="0" xfId="0" applyNumberFormat="1"/>
    <xf numFmtId="166" fontId="16" fillId="0" borderId="2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0" fontId="18" fillId="15" borderId="2" xfId="6" applyBorder="1" applyAlignment="1">
      <alignment horizontal="center" vertical="center"/>
    </xf>
    <xf numFmtId="0" fontId="17" fillId="14" borderId="2" xfId="5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21" fillId="0" borderId="13" xfId="0" applyFont="1" applyBorder="1" applyAlignment="1">
      <alignment vertical="top"/>
    </xf>
    <xf numFmtId="0" fontId="19" fillId="0" borderId="0" xfId="0" applyFont="1" applyAlignment="1">
      <alignment horizontal="left" wrapText="1"/>
    </xf>
    <xf numFmtId="0" fontId="22" fillId="0" borderId="0" xfId="0" applyFont="1" applyAlignment="1">
      <alignment horizontal="left" wrapText="1" indent="1"/>
    </xf>
    <xf numFmtId="165" fontId="16" fillId="16" borderId="2" xfId="0" applyNumberFormat="1" applyFont="1" applyFill="1" applyBorder="1" applyAlignment="1">
      <alignment horizontal="center" vertical="center"/>
    </xf>
    <xf numFmtId="41" fontId="6" fillId="0" borderId="0" xfId="1" applyFont="1" applyBorder="1"/>
    <xf numFmtId="0" fontId="15" fillId="17" borderId="6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10" fillId="0" borderId="0" xfId="0" applyFont="1"/>
    <xf numFmtId="0" fontId="4" fillId="4" borderId="5" xfId="3" applyFont="1" applyFill="1" applyBorder="1" applyAlignment="1">
      <alignment horizontal="center" vertical="center" textRotation="46"/>
    </xf>
    <xf numFmtId="0" fontId="4" fillId="18" borderId="5" xfId="3" applyFont="1" applyFill="1" applyBorder="1" applyAlignment="1">
      <alignment horizontal="center" vertical="center" textRotation="46"/>
    </xf>
    <xf numFmtId="0" fontId="15" fillId="17" borderId="7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/>
    </xf>
    <xf numFmtId="0" fontId="4" fillId="16" borderId="2" xfId="3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/>
    </xf>
    <xf numFmtId="0" fontId="19" fillId="19" borderId="13" xfId="0" applyFont="1" applyFill="1" applyBorder="1" applyAlignment="1">
      <alignment vertical="top"/>
    </xf>
    <xf numFmtId="0" fontId="0" fillId="20" borderId="0" xfId="0" applyFill="1"/>
    <xf numFmtId="16" fontId="0" fillId="5" borderId="0" xfId="0" applyNumberFormat="1" applyFill="1"/>
    <xf numFmtId="0" fontId="0" fillId="5" borderId="0" xfId="0" applyFill="1"/>
    <xf numFmtId="4" fontId="24" fillId="0" borderId="0" xfId="0" applyNumberFormat="1" applyFont="1"/>
    <xf numFmtId="0" fontId="0" fillId="0" borderId="2" xfId="0" applyBorder="1" applyAlignment="1">
      <alignment horizontal="center" vertical="center"/>
    </xf>
    <xf numFmtId="16" fontId="0" fillId="0" borderId="0" xfId="0" applyNumberFormat="1"/>
    <xf numFmtId="0" fontId="18" fillId="15" borderId="2" xfId="6" applyBorder="1" applyAlignment="1">
      <alignment horizontal="center" vertical="center"/>
    </xf>
    <xf numFmtId="0" fontId="17" fillId="14" borderId="2" xfId="5" applyBorder="1" applyAlignment="1">
      <alignment horizontal="center" vertical="center"/>
    </xf>
    <xf numFmtId="9" fontId="0" fillId="0" borderId="0" xfId="0" applyNumberFormat="1"/>
    <xf numFmtId="14" fontId="0" fillId="0" borderId="0" xfId="0" applyNumberFormat="1"/>
    <xf numFmtId="0" fontId="15" fillId="21" borderId="10" xfId="0" applyFont="1" applyFill="1" applyBorder="1" applyAlignment="1">
      <alignment horizontal="center" vertical="center" wrapText="1"/>
    </xf>
    <xf numFmtId="0" fontId="15" fillId="21" borderId="6" xfId="0" applyFont="1" applyFill="1" applyBorder="1" applyAlignment="1">
      <alignment horizontal="center" vertical="center"/>
    </xf>
    <xf numFmtId="0" fontId="15" fillId="21" borderId="7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center" vertical="center"/>
    </xf>
    <xf numFmtId="0" fontId="18" fillId="22" borderId="2" xfId="6" applyFill="1" applyBorder="1" applyAlignment="1">
      <alignment horizontal="center" vertical="center"/>
    </xf>
    <xf numFmtId="0" fontId="18" fillId="23" borderId="2" xfId="6" applyFill="1" applyBorder="1" applyAlignment="1">
      <alignment horizontal="center" vertical="center"/>
    </xf>
    <xf numFmtId="42" fontId="0" fillId="0" borderId="0" xfId="0" applyNumberFormat="1"/>
    <xf numFmtId="41" fontId="0" fillId="0" borderId="0" xfId="1" applyFont="1"/>
    <xf numFmtId="0" fontId="25" fillId="19" borderId="13" xfId="0" applyFont="1" applyFill="1" applyBorder="1" applyAlignment="1">
      <alignment horizontal="center"/>
    </xf>
    <xf numFmtId="0" fontId="0" fillId="16" borderId="2" xfId="0" applyFill="1" applyBorder="1" applyAlignment="1">
      <alignment horizontal="center" vertical="center"/>
    </xf>
    <xf numFmtId="0" fontId="17" fillId="23" borderId="2" xfId="5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16" fontId="0" fillId="23" borderId="0" xfId="0" applyNumberFormat="1" applyFill="1"/>
    <xf numFmtId="16" fontId="28" fillId="0" borderId="0" xfId="0" applyNumberFormat="1" applyFont="1" applyAlignment="1">
      <alignment horizontal="left" wrapText="1" indent="1"/>
    </xf>
    <xf numFmtId="0" fontId="26" fillId="0" borderId="2" xfId="0" applyFont="1" applyBorder="1" applyAlignment="1">
      <alignment horizontal="center"/>
    </xf>
    <xf numFmtId="0" fontId="27" fillId="0" borderId="2" xfId="0" applyFont="1" applyBorder="1" applyAlignment="1">
      <alignment vertical="top"/>
    </xf>
    <xf numFmtId="16" fontId="0" fillId="16" borderId="0" xfId="0" applyNumberFormat="1" applyFill="1"/>
    <xf numFmtId="0" fontId="0" fillId="0" borderId="2" xfId="0" applyFill="1" applyBorder="1" applyAlignment="1">
      <alignment horizontal="center" vertical="center"/>
    </xf>
    <xf numFmtId="0" fontId="18" fillId="0" borderId="2" xfId="6" applyFill="1" applyBorder="1" applyAlignment="1">
      <alignment horizontal="center" vertical="center"/>
    </xf>
    <xf numFmtId="0" fontId="17" fillId="0" borderId="2" xfId="5" applyFill="1" applyBorder="1" applyAlignment="1">
      <alignment horizontal="center" vertical="center"/>
    </xf>
    <xf numFmtId="0" fontId="0" fillId="0" borderId="0" xfId="0" applyFill="1"/>
    <xf numFmtId="16" fontId="0" fillId="0" borderId="0" xfId="0" applyNumberFormat="1" applyFill="1"/>
    <xf numFmtId="0" fontId="29" fillId="0" borderId="13" xfId="0" applyFont="1" applyBorder="1" applyAlignment="1">
      <alignment horizontal="center"/>
    </xf>
    <xf numFmtId="0" fontId="26" fillId="0" borderId="13" xfId="0" applyFont="1" applyBorder="1" applyAlignment="1">
      <alignment vertical="top"/>
    </xf>
    <xf numFmtId="42" fontId="4" fillId="22" borderId="2" xfId="2" applyFont="1" applyFill="1" applyBorder="1" applyAlignment="1">
      <alignment horizontal="center" vertical="center"/>
    </xf>
  </cellXfs>
  <cellStyles count="7">
    <cellStyle name="Buena" xfId="5" builtinId="26"/>
    <cellStyle name="Celda de comprobación" xfId="3" builtinId="23"/>
    <cellStyle name="Incorrecto" xfId="6" builtinId="27"/>
    <cellStyle name="Millares [0]" xfId="1" builtinId="6"/>
    <cellStyle name="Moneda [0]" xfId="2" builtinId="7"/>
    <cellStyle name="Normal" xfId="0" builtinId="0"/>
    <cellStyle name="Porcentual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zoomScale="90" zoomScaleNormal="90" zoomScaleSheetLayoutView="90" workbookViewId="0">
      <pane ySplit="2" topLeftCell="A3" activePane="bottomLeft" state="frozen"/>
      <selection activeCell="I38" sqref="I38"/>
      <selection pane="bottomLeft" activeCell="O22" sqref="O22"/>
    </sheetView>
  </sheetViews>
  <sheetFormatPr baseColWidth="10" defaultRowHeight="14.5"/>
  <cols>
    <col min="1" max="1" width="17.26953125" bestFit="1" customWidth="1"/>
    <col min="2" max="2" width="13" bestFit="1" customWidth="1"/>
    <col min="6" max="6" width="13.453125" bestFit="1" customWidth="1"/>
    <col min="14" max="14" width="12" bestFit="1" customWidth="1"/>
    <col min="15" max="15" width="12" style="133" bestFit="1" customWidth="1"/>
    <col min="16" max="16" width="11" style="133" bestFit="1" customWidth="1"/>
    <col min="17" max="17" width="10.90625" style="133"/>
  </cols>
  <sheetData>
    <row r="1" spans="1:17" ht="15.5">
      <c r="A1" s="16" t="s">
        <v>27</v>
      </c>
      <c r="B1" s="16"/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7"/>
    </row>
    <row r="2" spans="1:17" ht="15.5">
      <c r="B2" s="18"/>
      <c r="C2" s="19"/>
      <c r="D2" s="19" t="s">
        <v>35</v>
      </c>
      <c r="E2" s="19" t="s">
        <v>36</v>
      </c>
      <c r="F2" s="19" t="s">
        <v>3</v>
      </c>
      <c r="G2" s="19" t="s">
        <v>2</v>
      </c>
      <c r="H2" s="19"/>
      <c r="I2" s="19"/>
      <c r="J2" s="20" t="s">
        <v>26</v>
      </c>
      <c r="K2" s="21" t="s">
        <v>37</v>
      </c>
    </row>
    <row r="3" spans="1:17" ht="15.5">
      <c r="A3" s="22" t="s">
        <v>38</v>
      </c>
      <c r="B3" s="18" t="s">
        <v>39</v>
      </c>
      <c r="C3" s="21">
        <v>63180</v>
      </c>
      <c r="D3" s="21">
        <v>31590</v>
      </c>
      <c r="E3" s="21">
        <v>31590</v>
      </c>
      <c r="F3" s="21">
        <v>47385</v>
      </c>
      <c r="G3" s="21">
        <v>31590</v>
      </c>
      <c r="H3" s="21">
        <v>47385</v>
      </c>
      <c r="I3" s="21">
        <v>63180</v>
      </c>
      <c r="J3" s="20">
        <f t="shared" ref="J3" si="0">SUM(C3:I3)</f>
        <v>315900</v>
      </c>
      <c r="K3" s="23">
        <v>10.53</v>
      </c>
      <c r="O3" s="133">
        <v>30000000</v>
      </c>
      <c r="P3" s="133">
        <v>12000000</v>
      </c>
    </row>
    <row r="4" spans="1:17" ht="15.5">
      <c r="A4" s="22"/>
      <c r="B4" s="18" t="s">
        <v>40</v>
      </c>
      <c r="C4" s="24">
        <f>+C3</f>
        <v>63180</v>
      </c>
      <c r="D4" s="24">
        <v>31590</v>
      </c>
      <c r="E4" s="24">
        <v>31590</v>
      </c>
      <c r="F4" s="21"/>
      <c r="G4" s="21"/>
      <c r="H4" s="21"/>
      <c r="I4" s="21"/>
      <c r="J4" s="20">
        <f>SUM(C4:I4)</f>
        <v>126360</v>
      </c>
      <c r="K4" s="25">
        <f>+J4/J3</f>
        <v>0.4</v>
      </c>
    </row>
    <row r="5" spans="1:17" ht="15.5">
      <c r="A5" s="26"/>
      <c r="B5" s="22" t="s">
        <v>41</v>
      </c>
      <c r="C5" s="21"/>
      <c r="D5" s="21"/>
      <c r="E5" s="21"/>
      <c r="F5" s="21"/>
      <c r="G5" s="21"/>
      <c r="H5" s="21"/>
      <c r="I5" s="21"/>
      <c r="J5" s="27">
        <f>SUM(C5:I5)</f>
        <v>0</v>
      </c>
      <c r="K5" s="25">
        <f>+J5/J3</f>
        <v>0</v>
      </c>
    </row>
    <row r="6" spans="1:17" ht="15.5">
      <c r="A6" s="26"/>
      <c r="B6" s="28"/>
      <c r="C6" s="28"/>
      <c r="E6" s="28"/>
      <c r="F6" s="29"/>
      <c r="G6" s="29"/>
      <c r="H6" s="29"/>
      <c r="I6" s="29"/>
      <c r="J6" s="30"/>
      <c r="K6" s="31"/>
    </row>
    <row r="7" spans="1:17" ht="15.5">
      <c r="A7" s="18" t="s">
        <v>42</v>
      </c>
      <c r="B7" s="22" t="s">
        <v>39</v>
      </c>
      <c r="C7" s="21">
        <f>+$J$7*0.2</f>
        <v>32160</v>
      </c>
      <c r="D7" s="21">
        <f>+$J$7*0.1</f>
        <v>16080</v>
      </c>
      <c r="E7" s="21">
        <f>+$J$7*0.1</f>
        <v>16080</v>
      </c>
      <c r="F7" s="21">
        <f>+$J$7*0.15</f>
        <v>24120</v>
      </c>
      <c r="G7" s="21">
        <f>+$J$7*0.1</f>
        <v>16080</v>
      </c>
      <c r="H7" s="21">
        <f>+$J$7*0.15</f>
        <v>24120</v>
      </c>
      <c r="I7" s="21">
        <f>+$J$7*0.2</f>
        <v>32160</v>
      </c>
      <c r="J7" s="27">
        <f>+K7*30000</f>
        <v>160800</v>
      </c>
      <c r="K7" s="23">
        <v>5.36</v>
      </c>
      <c r="O7" s="133">
        <v>30000000</v>
      </c>
      <c r="P7" s="133">
        <v>8000000</v>
      </c>
      <c r="Q7" s="133">
        <v>12000000</v>
      </c>
    </row>
    <row r="8" spans="1:17" ht="15.5">
      <c r="A8" s="18"/>
      <c r="B8" s="22" t="s">
        <v>40</v>
      </c>
      <c r="C8" s="24">
        <v>16080</v>
      </c>
      <c r="D8" s="24">
        <v>16080</v>
      </c>
      <c r="E8" s="24">
        <v>16080</v>
      </c>
      <c r="F8" s="24">
        <f>+F7</f>
        <v>24120</v>
      </c>
      <c r="G8" s="24">
        <v>16080</v>
      </c>
      <c r="H8" s="21"/>
      <c r="I8" s="21"/>
      <c r="J8" s="27">
        <f>SUM(C8:I8)</f>
        <v>88440</v>
      </c>
      <c r="K8" s="25">
        <f>+J8/J7</f>
        <v>0.55000000000000004</v>
      </c>
      <c r="L8">
        <v>104530</v>
      </c>
      <c r="M8" s="11">
        <f>+L8-J8</f>
        <v>16090</v>
      </c>
    </row>
    <row r="9" spans="1:17" ht="15.5">
      <c r="A9" s="26"/>
      <c r="B9" s="22" t="s">
        <v>41</v>
      </c>
      <c r="C9" s="21"/>
      <c r="D9" s="21"/>
      <c r="E9" s="21"/>
      <c r="F9" s="21"/>
      <c r="G9" s="21"/>
      <c r="H9" s="21"/>
      <c r="I9" s="21"/>
      <c r="J9" s="27">
        <f>SUM(C9:I9)</f>
        <v>0</v>
      </c>
      <c r="K9" s="25">
        <f>+J9/J7</f>
        <v>0</v>
      </c>
    </row>
    <row r="10" spans="1:17" ht="15.5">
      <c r="A10" s="26"/>
      <c r="B10" s="26"/>
      <c r="C10" s="29"/>
      <c r="D10" s="29"/>
      <c r="E10" s="28"/>
      <c r="F10" s="29"/>
      <c r="G10" s="29"/>
      <c r="H10" s="29"/>
      <c r="I10" s="29"/>
      <c r="J10" s="32"/>
      <c r="K10" s="26"/>
    </row>
    <row r="11" spans="1:17" ht="15.5">
      <c r="A11" s="18" t="s">
        <v>19</v>
      </c>
      <c r="B11" s="22" t="s">
        <v>39</v>
      </c>
      <c r="C11" s="21">
        <f>+$J$11*0.2</f>
        <v>63180</v>
      </c>
      <c r="D11" s="21">
        <f>+$J$11*0.1</f>
        <v>31590</v>
      </c>
      <c r="E11" s="21">
        <f>+$J$11*0.1</f>
        <v>31590</v>
      </c>
      <c r="F11" s="21">
        <f>+$J$11*0.15</f>
        <v>47385</v>
      </c>
      <c r="G11" s="21">
        <f>+$J$11*0.1</f>
        <v>31590</v>
      </c>
      <c r="H11" s="21">
        <f>+$J$11*0.15</f>
        <v>47385</v>
      </c>
      <c r="I11" s="21">
        <f>+$J$11*0.2</f>
        <v>63180</v>
      </c>
      <c r="J11" s="27">
        <f>30000*K11</f>
        <v>315900</v>
      </c>
      <c r="K11" s="23">
        <v>10.53</v>
      </c>
      <c r="O11" s="133">
        <v>30000000</v>
      </c>
      <c r="P11" s="133">
        <v>12000000</v>
      </c>
    </row>
    <row r="12" spans="1:17" ht="15.5">
      <c r="A12" s="18"/>
      <c r="B12" s="22" t="s">
        <v>40</v>
      </c>
      <c r="C12" s="24">
        <v>12600</v>
      </c>
      <c r="D12" s="24">
        <f>+D11</f>
        <v>31590</v>
      </c>
      <c r="E12" s="21"/>
      <c r="F12" s="21"/>
      <c r="G12" s="24">
        <v>33000</v>
      </c>
      <c r="H12" s="21"/>
      <c r="I12" s="21"/>
      <c r="J12" s="27">
        <f>SUM(C12:I12)</f>
        <v>77190</v>
      </c>
      <c r="K12" s="25">
        <f>+J12/J11</f>
        <v>0.24434947768281101</v>
      </c>
    </row>
    <row r="13" spans="1:17" ht="15.5">
      <c r="A13" s="26"/>
      <c r="B13" s="22" t="s">
        <v>41</v>
      </c>
      <c r="C13" s="33">
        <f>+C12-C11</f>
        <v>-50580</v>
      </c>
      <c r="D13" s="21"/>
      <c r="E13" s="33">
        <f t="shared" ref="E13" si="1">+E12-E11</f>
        <v>-31590</v>
      </c>
      <c r="F13" s="33">
        <f>+F12-F11</f>
        <v>-47385</v>
      </c>
      <c r="G13" s="21"/>
      <c r="H13" s="21"/>
      <c r="I13" s="21"/>
      <c r="J13" s="27">
        <f>SUM(C13:I13)</f>
        <v>-129555</v>
      </c>
      <c r="K13" s="25">
        <f>+J13/J11</f>
        <v>-0.41011396011396012</v>
      </c>
    </row>
    <row r="14" spans="1:17" ht="15.5">
      <c r="A14" s="26"/>
      <c r="B14" s="26"/>
      <c r="C14" s="34">
        <f>+C12/J11</f>
        <v>3.9886039886039885E-2</v>
      </c>
      <c r="D14" s="29"/>
      <c r="E14" s="28"/>
      <c r="F14" s="29"/>
      <c r="G14" s="29"/>
      <c r="H14" s="29"/>
      <c r="I14" s="29"/>
      <c r="J14" s="35"/>
      <c r="K14" s="26"/>
    </row>
    <row r="15" spans="1:17" ht="15.5">
      <c r="A15" s="18" t="s">
        <v>22</v>
      </c>
      <c r="B15" s="22" t="s">
        <v>39</v>
      </c>
      <c r="C15" s="21">
        <f>+$J$15*0.2</f>
        <v>63180</v>
      </c>
      <c r="D15" s="21">
        <f t="shared" ref="D15:G15" si="2">+$J$15*0.1</f>
        <v>31590</v>
      </c>
      <c r="E15" s="21">
        <f t="shared" si="2"/>
        <v>31590</v>
      </c>
      <c r="F15" s="21">
        <f>+$J$15*0.15</f>
        <v>47385</v>
      </c>
      <c r="G15" s="21">
        <f t="shared" si="2"/>
        <v>31590</v>
      </c>
      <c r="H15" s="21">
        <f>+$J$15*0.15</f>
        <v>47385</v>
      </c>
      <c r="I15" s="21">
        <f>+$J$15*0.2</f>
        <v>63180</v>
      </c>
      <c r="J15" s="27">
        <f>30000*K15</f>
        <v>315900</v>
      </c>
      <c r="K15" s="23">
        <v>10.53</v>
      </c>
      <c r="O15" s="133">
        <v>30000000</v>
      </c>
      <c r="P15" s="133">
        <v>12000000</v>
      </c>
    </row>
    <row r="16" spans="1:17" ht="15.5">
      <c r="A16" s="18"/>
      <c r="B16" s="22" t="s">
        <v>40</v>
      </c>
      <c r="C16" s="21"/>
      <c r="D16" s="21"/>
      <c r="E16" s="21"/>
      <c r="F16" s="21"/>
      <c r="G16" s="21"/>
      <c r="H16" s="21"/>
      <c r="I16" s="21"/>
      <c r="J16" s="27">
        <f>SUM(C16:I16)</f>
        <v>0</v>
      </c>
      <c r="K16" s="25">
        <f>+J16/J15</f>
        <v>0</v>
      </c>
    </row>
    <row r="17" spans="1:16" ht="15.5">
      <c r="A17" s="26"/>
      <c r="B17" s="22" t="s">
        <v>41</v>
      </c>
      <c r="C17" s="33">
        <f>+C16-C15</f>
        <v>-63180</v>
      </c>
      <c r="D17" s="33">
        <f>+D16-D15</f>
        <v>-31590</v>
      </c>
      <c r="E17" s="21"/>
      <c r="F17" s="21"/>
      <c r="G17" s="33">
        <f>+G16-G15</f>
        <v>-31590</v>
      </c>
      <c r="H17" s="21"/>
      <c r="I17" s="21"/>
      <c r="J17" s="27">
        <f>SUM(C17:I17)</f>
        <v>-126360</v>
      </c>
      <c r="K17" s="25">
        <f>+J17/J15</f>
        <v>-0.4</v>
      </c>
    </row>
    <row r="18" spans="1:16" ht="15.5">
      <c r="A18" s="26"/>
      <c r="B18" s="26"/>
      <c r="C18" s="34"/>
      <c r="D18" s="29"/>
      <c r="E18" s="28"/>
      <c r="F18" s="29"/>
      <c r="G18" s="29"/>
      <c r="H18" s="29"/>
      <c r="I18" s="29"/>
      <c r="J18" s="35"/>
      <c r="K18" s="26"/>
    </row>
    <row r="19" spans="1:16" ht="15.5">
      <c r="A19" s="18" t="s">
        <v>21</v>
      </c>
      <c r="B19" s="22" t="s">
        <v>39</v>
      </c>
      <c r="C19" s="21">
        <f>+$J$19*0.2</f>
        <v>16050</v>
      </c>
      <c r="D19" s="21">
        <f>+$J$19*0.1</f>
        <v>8025</v>
      </c>
      <c r="E19" s="21">
        <f>+$J$19*0.1</f>
        <v>8025</v>
      </c>
      <c r="F19" s="21">
        <f>+$J$19*0.15</f>
        <v>12037.5</v>
      </c>
      <c r="G19" s="21">
        <f>+$J$19*0.1</f>
        <v>8025</v>
      </c>
      <c r="H19" s="21">
        <f>+$J$19*0.15</f>
        <v>12037.5</v>
      </c>
      <c r="I19" s="21">
        <f>+$J$19*0.2</f>
        <v>16050</v>
      </c>
      <c r="J19" s="27">
        <f>+(30000+23500)/2*K19</f>
        <v>80250</v>
      </c>
      <c r="K19" s="23">
        <v>3</v>
      </c>
      <c r="L19">
        <f>+J19/K19</f>
        <v>26750</v>
      </c>
    </row>
    <row r="20" spans="1:16" ht="15.5">
      <c r="A20" s="18"/>
      <c r="B20" s="22" t="s">
        <v>40</v>
      </c>
      <c r="C20" s="21"/>
      <c r="D20" s="21"/>
      <c r="E20" s="21"/>
      <c r="F20" s="21"/>
      <c r="G20" s="24">
        <f>+G19</f>
        <v>8025</v>
      </c>
      <c r="I20" s="21"/>
      <c r="J20" s="27">
        <f>SUM(C20:I20)</f>
        <v>8025</v>
      </c>
      <c r="K20" s="25">
        <f>+J20/J19</f>
        <v>0.1</v>
      </c>
      <c r="O20" s="133">
        <f>+J4+J12</f>
        <v>203550</v>
      </c>
    </row>
    <row r="21" spans="1:16" ht="15.5">
      <c r="A21" s="26"/>
      <c r="B21" s="22" t="s">
        <v>41</v>
      </c>
      <c r="C21" s="33">
        <f>+C20-C19</f>
        <v>-16050</v>
      </c>
      <c r="D21" s="33">
        <f>+D20-D19</f>
        <v>-8025</v>
      </c>
      <c r="E21" s="33">
        <f>+E20-E19</f>
        <v>-8025</v>
      </c>
      <c r="F21" s="33">
        <f>+F20-F19</f>
        <v>-12037.5</v>
      </c>
      <c r="G21" s="21"/>
      <c r="H21" s="33">
        <f t="shared" ref="H21:I21" si="3">+H20-H19</f>
        <v>-12037.5</v>
      </c>
      <c r="I21" s="33">
        <f t="shared" si="3"/>
        <v>-16050</v>
      </c>
      <c r="J21" s="27">
        <f>SUM(C21:I21)</f>
        <v>-72225</v>
      </c>
      <c r="K21" s="25">
        <f>+J21/J19</f>
        <v>-0.9</v>
      </c>
      <c r="M21" s="124">
        <f>+K20-K21</f>
        <v>1</v>
      </c>
      <c r="O21" s="133">
        <f>+J21-+'PP2'!N7</f>
        <v>-142725</v>
      </c>
    </row>
    <row r="22" spans="1:16" ht="15.5">
      <c r="A22" s="26"/>
      <c r="B22" s="28"/>
      <c r="C22" s="28"/>
      <c r="E22" s="28"/>
      <c r="F22" s="29"/>
      <c r="G22" s="29"/>
      <c r="H22" s="29"/>
      <c r="I22" s="29"/>
      <c r="J22" s="30"/>
      <c r="K22" s="31"/>
      <c r="O22" s="133">
        <f>+O20+O21</f>
        <v>60825</v>
      </c>
    </row>
    <row r="23" spans="1:16" ht="15.5">
      <c r="A23" s="18" t="s">
        <v>43</v>
      </c>
      <c r="B23" s="22" t="s">
        <v>39</v>
      </c>
      <c r="C23" s="21">
        <f>+$J$23*0.2</f>
        <v>53125.5</v>
      </c>
      <c r="D23" s="21">
        <f t="shared" ref="D23:E23" si="4">+$J$23*0.1</f>
        <v>26562.75</v>
      </c>
      <c r="E23" s="21">
        <f t="shared" si="4"/>
        <v>26562.75</v>
      </c>
      <c r="F23" s="21">
        <f>+$J$23*0.15</f>
        <v>39844.125</v>
      </c>
      <c r="G23" s="21">
        <f>+$J$23*0.1</f>
        <v>26562.75</v>
      </c>
      <c r="H23" s="21">
        <f>+$J$23*0.15</f>
        <v>39844.125</v>
      </c>
      <c r="I23" s="21">
        <f>+$J$23*0.2</f>
        <v>53125.5</v>
      </c>
      <c r="J23" s="27">
        <f>+(30000+23500)/2*K23</f>
        <v>265627.5</v>
      </c>
      <c r="K23" s="23">
        <v>9.93</v>
      </c>
    </row>
    <row r="24" spans="1:16" ht="15.5">
      <c r="A24" s="18"/>
      <c r="B24" s="22" t="s">
        <v>40</v>
      </c>
      <c r="C24" s="21"/>
      <c r="D24" s="21"/>
      <c r="E24" s="21"/>
      <c r="F24" s="21"/>
      <c r="G24" s="21"/>
      <c r="H24" s="21"/>
      <c r="I24" s="21"/>
      <c r="J24" s="27">
        <f>SUM(C24:I24)</f>
        <v>0</v>
      </c>
      <c r="K24" s="25">
        <f>+J24/J23</f>
        <v>0</v>
      </c>
    </row>
    <row r="25" spans="1:16" ht="15.5">
      <c r="A25" s="26"/>
      <c r="B25" s="22" t="s">
        <v>41</v>
      </c>
      <c r="C25" s="33">
        <f>+C24-C23</f>
        <v>-53125.5</v>
      </c>
      <c r="D25" s="33">
        <f>+D24-D23</f>
        <v>-26562.75</v>
      </c>
      <c r="E25" s="33">
        <f>+E24-E23</f>
        <v>-26562.75</v>
      </c>
      <c r="F25" s="21"/>
      <c r="G25" s="33">
        <f>+G24-G23</f>
        <v>-26562.75</v>
      </c>
      <c r="H25" s="21"/>
      <c r="I25" s="21"/>
      <c r="J25" s="27">
        <f>SUM(C25:I25)</f>
        <v>-132813.75</v>
      </c>
      <c r="K25" s="25">
        <f>+J25/J23</f>
        <v>-0.5</v>
      </c>
    </row>
    <row r="26" spans="1:16" ht="15.5">
      <c r="A26" s="26"/>
      <c r="B26" s="26"/>
      <c r="C26" s="29"/>
      <c r="D26" s="29"/>
      <c r="E26" s="28"/>
      <c r="F26" s="29"/>
      <c r="G26" s="29"/>
      <c r="H26" s="29"/>
      <c r="I26" s="29"/>
      <c r="J26" s="32"/>
      <c r="K26" s="26"/>
    </row>
    <row r="27" spans="1:16" ht="15.5">
      <c r="A27" s="18" t="s">
        <v>23</v>
      </c>
      <c r="B27" s="22" t="s">
        <v>39</v>
      </c>
      <c r="C27" s="21">
        <f>+$J$27*0.2</f>
        <v>58850</v>
      </c>
      <c r="D27" s="21">
        <f>+$J$27*0.1</f>
        <v>29425</v>
      </c>
      <c r="E27" s="21">
        <f>+$J$27*0.1</f>
        <v>29425</v>
      </c>
      <c r="F27" s="21">
        <f>+$J$27*0.15</f>
        <v>44137.5</v>
      </c>
      <c r="G27" s="21">
        <f>+$J$27*0.1</f>
        <v>29425</v>
      </c>
      <c r="H27" s="21">
        <f>+$J$27*0.15</f>
        <v>44137.5</v>
      </c>
      <c r="I27" s="21">
        <f>+$J$27*0.2</f>
        <v>58850</v>
      </c>
      <c r="J27" s="27">
        <f>+(30000+23500)/2*K27</f>
        <v>294250</v>
      </c>
      <c r="K27" s="23">
        <v>11</v>
      </c>
    </row>
    <row r="28" spans="1:16" ht="15.5">
      <c r="A28" s="18"/>
      <c r="B28" s="22" t="s">
        <v>40</v>
      </c>
      <c r="C28" s="21"/>
      <c r="D28" s="21"/>
      <c r="E28" s="21"/>
      <c r="F28" s="21"/>
      <c r="G28" s="21"/>
      <c r="H28" s="21"/>
      <c r="I28" s="21"/>
      <c r="J28" s="27">
        <f>SUM(C28:I28)</f>
        <v>0</v>
      </c>
      <c r="K28" s="25">
        <f>+J28/J27</f>
        <v>0</v>
      </c>
    </row>
    <row r="29" spans="1:16" ht="15.5">
      <c r="A29" s="26"/>
      <c r="B29" s="22" t="s">
        <v>41</v>
      </c>
      <c r="C29" s="33">
        <f>+C28-C27</f>
        <v>-58850</v>
      </c>
      <c r="D29" s="33">
        <f>+D28-D27</f>
        <v>-29425</v>
      </c>
      <c r="E29" s="21"/>
      <c r="F29" s="21"/>
      <c r="G29" s="33">
        <f>+G28-G27</f>
        <v>-29425</v>
      </c>
      <c r="H29" s="21"/>
      <c r="I29" s="21"/>
      <c r="J29" s="27">
        <f>SUM(C29:I29)</f>
        <v>-117700</v>
      </c>
      <c r="K29" s="25">
        <f>+J29/J27</f>
        <v>-0.4</v>
      </c>
    </row>
    <row r="31" spans="1:16">
      <c r="H31" t="s">
        <v>285</v>
      </c>
      <c r="J31" s="11">
        <f>+J27+J23+J19+J15+J11+J7+J3</f>
        <v>1748627.5</v>
      </c>
      <c r="K31" s="11">
        <f t="shared" ref="K31" si="5">+K27+K23+K19+K15+K11+K7+K3</f>
        <v>60.88</v>
      </c>
      <c r="L31" s="11">
        <f>+J31/K31</f>
        <v>28722.527923784492</v>
      </c>
    </row>
    <row r="32" spans="1:16">
      <c r="H32" t="s">
        <v>40</v>
      </c>
      <c r="I32" s="90">
        <f>+J32/J31</f>
        <v>0.17157170409363914</v>
      </c>
      <c r="J32" s="11">
        <f>+J28+J24+J20+J16+J12+J8+J4</f>
        <v>300015</v>
      </c>
      <c r="K32" s="11">
        <f>+K28+K24+K20+K16+K12+K8+K4</f>
        <v>1.2943494776828111</v>
      </c>
      <c r="N32" s="133">
        <f>+J32*750</f>
        <v>225011250</v>
      </c>
      <c r="O32" s="133">
        <f>SUM(O3:Q17)</f>
        <v>176000000</v>
      </c>
      <c r="P32" s="133">
        <f>+N32-O32</f>
        <v>49011250</v>
      </c>
    </row>
    <row r="33" spans="1:16">
      <c r="A33" t="s">
        <v>260</v>
      </c>
      <c r="H33" t="s">
        <v>286</v>
      </c>
      <c r="I33" s="90">
        <f>+J33/J31</f>
        <v>-0.33091882061788458</v>
      </c>
      <c r="J33" s="11">
        <f>+J29+J25+J21+J17+J13+J9+J5</f>
        <v>-578653.75</v>
      </c>
      <c r="L33">
        <f>+J33*830</f>
        <v>-480282612.5</v>
      </c>
      <c r="N33" t="s">
        <v>288</v>
      </c>
      <c r="O33" s="133">
        <v>24000000</v>
      </c>
      <c r="P33" s="133">
        <f>+P32-O33</f>
        <v>25011250</v>
      </c>
    </row>
    <row r="34" spans="1:16">
      <c r="A34" s="91"/>
      <c r="I34" s="90">
        <f>+I32-I33</f>
        <v>0.50249052471152367</v>
      </c>
    </row>
    <row r="35" spans="1:16">
      <c r="A35" s="91">
        <v>44370</v>
      </c>
      <c r="B35">
        <v>35400</v>
      </c>
      <c r="C35" t="s">
        <v>261</v>
      </c>
    </row>
    <row r="36" spans="1:16">
      <c r="A36" s="91">
        <v>44308</v>
      </c>
      <c r="B36">
        <v>24120</v>
      </c>
      <c r="C36" t="s">
        <v>265</v>
      </c>
    </row>
    <row r="37" spans="1:16">
      <c r="A37" s="91">
        <v>44272</v>
      </c>
      <c r="B37">
        <v>31590</v>
      </c>
      <c r="C37" t="s">
        <v>266</v>
      </c>
    </row>
    <row r="38" spans="1:16">
      <c r="A38" s="91">
        <v>44235</v>
      </c>
      <c r="B38">
        <v>31590</v>
      </c>
      <c r="C38" t="s">
        <v>263</v>
      </c>
    </row>
    <row r="39" spans="1:16">
      <c r="A39" s="91">
        <v>44235</v>
      </c>
      <c r="B39">
        <v>16080</v>
      </c>
      <c r="C39" t="s">
        <v>264</v>
      </c>
    </row>
    <row r="40" spans="1:16">
      <c r="A40" s="91">
        <v>44257</v>
      </c>
      <c r="B40">
        <v>14259000</v>
      </c>
      <c r="C40" t="s">
        <v>262</v>
      </c>
      <c r="D40" t="s">
        <v>277</v>
      </c>
    </row>
    <row r="43" spans="1:16">
      <c r="A43" s="125">
        <v>44231</v>
      </c>
      <c r="B43">
        <v>31590</v>
      </c>
      <c r="C43" t="s">
        <v>276</v>
      </c>
    </row>
    <row r="44" spans="1:16">
      <c r="A44" s="125">
        <v>44187</v>
      </c>
      <c r="B44">
        <v>15795</v>
      </c>
      <c r="C44" t="s">
        <v>278</v>
      </c>
    </row>
    <row r="45" spans="1:16">
      <c r="A45" s="125">
        <v>44075</v>
      </c>
      <c r="B45">
        <v>8000000</v>
      </c>
      <c r="C45" t="s">
        <v>275</v>
      </c>
      <c r="D45" t="s">
        <v>277</v>
      </c>
      <c r="E45">
        <v>78750</v>
      </c>
      <c r="F45">
        <f>+E45+B44</f>
        <v>94545</v>
      </c>
    </row>
  </sheetData>
  <pageMargins left="0.7" right="0.7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3"/>
  <sheetViews>
    <sheetView zoomScale="90" zoomScaleNormal="90" zoomScaleSheetLayoutView="90" workbookViewId="0">
      <pane xSplit="2" ySplit="3" topLeftCell="C4" activePane="bottomRight" state="frozen"/>
      <selection activeCell="I38" sqref="I38"/>
      <selection pane="topRight" activeCell="I38" sqref="I38"/>
      <selection pane="bottomLeft" activeCell="I38" sqref="I38"/>
      <selection pane="bottomRight" activeCell="A21" sqref="A21"/>
    </sheetView>
  </sheetViews>
  <sheetFormatPr baseColWidth="10" defaultRowHeight="14.5" outlineLevelCol="1"/>
  <cols>
    <col min="1" max="1" width="22.08984375" bestFit="1" customWidth="1"/>
    <col min="2" max="2" width="16.7265625" customWidth="1"/>
    <col min="3" max="4" width="12.6328125" hidden="1" customWidth="1" outlineLevel="1"/>
    <col min="5" max="5" width="15.36328125" hidden="1" customWidth="1" outlineLevel="1"/>
    <col min="6" max="6" width="13.08984375" bestFit="1" customWidth="1" collapsed="1"/>
    <col min="7" max="7" width="10.1796875" bestFit="1" customWidth="1"/>
    <col min="8" max="8" width="12.453125" customWidth="1"/>
    <col min="9" max="9" width="18" customWidth="1"/>
    <col min="10" max="10" width="12.453125" customWidth="1"/>
    <col min="11" max="11" width="15.36328125" bestFit="1" customWidth="1"/>
    <col min="12" max="13" width="17.1796875" bestFit="1" customWidth="1"/>
    <col min="14" max="14" width="21.08984375" bestFit="1" customWidth="1"/>
    <col min="15" max="15" width="12.453125" bestFit="1" customWidth="1"/>
  </cols>
  <sheetData>
    <row r="1" spans="1:18" ht="31">
      <c r="A1" s="37" t="s">
        <v>48</v>
      </c>
      <c r="B1" s="38">
        <v>23500</v>
      </c>
      <c r="C1" s="39" t="s">
        <v>126</v>
      </c>
      <c r="D1" s="39"/>
      <c r="E1" s="39"/>
      <c r="F1" s="39" t="s">
        <v>44</v>
      </c>
      <c r="G1" s="39" t="s">
        <v>49</v>
      </c>
      <c r="H1" s="39" t="s">
        <v>0</v>
      </c>
      <c r="I1" s="39" t="s">
        <v>2</v>
      </c>
      <c r="J1" s="39" t="s">
        <v>51</v>
      </c>
      <c r="K1" s="40" t="s">
        <v>1</v>
      </c>
      <c r="L1" s="39" t="s">
        <v>4</v>
      </c>
      <c r="M1" s="39" t="s">
        <v>5</v>
      </c>
    </row>
    <row r="2" spans="1:18" ht="15.5">
      <c r="C2" s="1" t="s">
        <v>127</v>
      </c>
      <c r="D2" s="1"/>
      <c r="E2" s="1"/>
      <c r="F2" s="1">
        <v>1.5</v>
      </c>
      <c r="G2" s="1">
        <v>1.5</v>
      </c>
      <c r="H2" s="1">
        <v>5</v>
      </c>
      <c r="I2" s="2">
        <v>5</v>
      </c>
      <c r="J2" s="1">
        <v>10</v>
      </c>
      <c r="K2" s="1">
        <v>2</v>
      </c>
      <c r="L2" s="1">
        <v>55</v>
      </c>
      <c r="M2" s="1">
        <v>20</v>
      </c>
      <c r="N2">
        <f>SUM(F2:M2)</f>
        <v>100</v>
      </c>
    </row>
    <row r="3" spans="1:18" ht="15.5">
      <c r="A3" s="44" t="s">
        <v>6</v>
      </c>
      <c r="B3" s="45" t="s">
        <v>7</v>
      </c>
      <c r="C3" s="46" t="s">
        <v>126</v>
      </c>
      <c r="D3" s="46">
        <v>29509</v>
      </c>
      <c r="E3" s="46"/>
      <c r="F3" s="2"/>
      <c r="G3" s="2"/>
      <c r="H3" s="2"/>
      <c r="I3" s="1"/>
      <c r="J3" s="1"/>
      <c r="K3" s="1"/>
      <c r="L3" s="1"/>
      <c r="M3" s="1"/>
    </row>
    <row r="4" spans="1:18" ht="15.5">
      <c r="A4" s="113" t="s">
        <v>9</v>
      </c>
      <c r="B4" s="3"/>
      <c r="C4" s="42"/>
      <c r="D4" s="42"/>
      <c r="E4" s="48"/>
      <c r="F4" s="4"/>
      <c r="G4" s="4"/>
      <c r="H4" s="4"/>
      <c r="I4" s="4"/>
      <c r="J4" s="4"/>
      <c r="K4" s="4"/>
      <c r="L4" s="4"/>
      <c r="M4" s="4"/>
      <c r="N4" s="5">
        <f t="shared" ref="N4:N12" si="0">SUM(F4:M4)</f>
        <v>0</v>
      </c>
    </row>
    <row r="5" spans="1:18" ht="15.5">
      <c r="A5" s="113" t="s">
        <v>10</v>
      </c>
      <c r="B5" s="3"/>
      <c r="C5" s="42"/>
      <c r="D5" s="42"/>
      <c r="E5" s="48"/>
      <c r="F5" s="4"/>
      <c r="G5" s="4"/>
      <c r="H5" s="4"/>
      <c r="I5" s="4"/>
      <c r="J5" s="4"/>
      <c r="K5" s="4"/>
      <c r="L5" s="4"/>
      <c r="M5" s="4"/>
      <c r="N5" s="5">
        <f t="shared" si="0"/>
        <v>0</v>
      </c>
    </row>
    <row r="6" spans="1:18" ht="15.5">
      <c r="A6" s="6" t="s">
        <v>191</v>
      </c>
      <c r="B6" s="3"/>
      <c r="C6" s="42"/>
      <c r="D6" s="42"/>
      <c r="E6" s="48"/>
      <c r="F6" s="4"/>
      <c r="G6" s="4"/>
      <c r="H6" s="4"/>
      <c r="I6" s="4"/>
      <c r="J6" s="4"/>
      <c r="K6" s="4"/>
      <c r="L6" s="4"/>
      <c r="M6" s="4"/>
      <c r="N6" s="5">
        <f t="shared" si="0"/>
        <v>0</v>
      </c>
    </row>
    <row r="7" spans="1:18" ht="15.5">
      <c r="A7" s="2" t="s">
        <v>11</v>
      </c>
      <c r="B7" s="3">
        <v>3</v>
      </c>
      <c r="C7" s="42">
        <f>+(3949018)/29000</f>
        <v>136.17303448275862</v>
      </c>
      <c r="D7" s="42">
        <f>+C7*$D$3</f>
        <v>4018330.0745517244</v>
      </c>
      <c r="E7" s="48">
        <v>3949018</v>
      </c>
      <c r="F7" s="4">
        <f t="shared" ref="F7:G18" si="1">+$B7*$B$1*F$2%</f>
        <v>1057.5</v>
      </c>
      <c r="G7" s="4">
        <f t="shared" si="1"/>
        <v>1057.5</v>
      </c>
      <c r="H7" s="4">
        <f>+B7*$B$1*H$2%</f>
        <v>3525</v>
      </c>
      <c r="I7" s="4">
        <f t="shared" ref="I7:I14" si="2">+$B7*$B$1*I$2%</f>
        <v>3525</v>
      </c>
      <c r="J7" s="4">
        <f>+$B7*$B$1*J$2%</f>
        <v>7050</v>
      </c>
      <c r="K7" s="4">
        <f t="shared" ref="K7:M14" si="3">+$B7*$B$1*K$2%</f>
        <v>1410</v>
      </c>
      <c r="L7" s="4">
        <f t="shared" si="3"/>
        <v>38775</v>
      </c>
      <c r="M7" s="4">
        <f t="shared" si="3"/>
        <v>14100</v>
      </c>
      <c r="N7" s="5">
        <f t="shared" si="0"/>
        <v>70500</v>
      </c>
    </row>
    <row r="8" spans="1:18" ht="15.5">
      <c r="A8" s="122" t="s">
        <v>13</v>
      </c>
      <c r="B8" s="3">
        <v>11</v>
      </c>
      <c r="C8" s="42">
        <v>90</v>
      </c>
      <c r="D8" s="48">
        <f>+C8*$D$3</f>
        <v>2655810</v>
      </c>
      <c r="E8" s="48">
        <v>2617830</v>
      </c>
      <c r="F8" s="150"/>
      <c r="G8" s="4"/>
      <c r="H8" s="4"/>
      <c r="I8" s="4"/>
      <c r="J8" s="4"/>
      <c r="K8" s="4"/>
      <c r="L8" s="4"/>
      <c r="M8" s="4"/>
      <c r="N8" s="5">
        <f t="shared" si="0"/>
        <v>0</v>
      </c>
    </row>
    <row r="9" spans="1:18" ht="15.5">
      <c r="A9" s="123" t="s">
        <v>17</v>
      </c>
      <c r="B9" s="3">
        <v>9.14</v>
      </c>
      <c r="C9" s="42">
        <v>50</v>
      </c>
      <c r="D9" s="48"/>
      <c r="E9" s="48"/>
      <c r="F9" s="4">
        <f t="shared" si="1"/>
        <v>3221.85</v>
      </c>
      <c r="G9" s="4">
        <f t="shared" si="1"/>
        <v>3221.85</v>
      </c>
      <c r="H9" s="4">
        <f>+B9*$B$1*H$2%</f>
        <v>10739.5</v>
      </c>
      <c r="I9" s="4">
        <f t="shared" si="2"/>
        <v>10739.5</v>
      </c>
      <c r="J9" s="4">
        <f>+$B9*$B$1*J$2%</f>
        <v>21479</v>
      </c>
      <c r="K9" s="4">
        <f t="shared" si="3"/>
        <v>4295.8</v>
      </c>
      <c r="L9" s="4">
        <f t="shared" si="3"/>
        <v>118134.50000000001</v>
      </c>
      <c r="M9" s="4">
        <f t="shared" si="3"/>
        <v>42958</v>
      </c>
      <c r="N9" s="5">
        <f t="shared" ref="N9" si="4">SUM(F9:M9)</f>
        <v>214790</v>
      </c>
    </row>
    <row r="10" spans="1:18" ht="15.5">
      <c r="A10" s="122" t="s">
        <v>50</v>
      </c>
      <c r="B10" s="3">
        <v>10.68</v>
      </c>
      <c r="C10" s="42">
        <v>90</v>
      </c>
      <c r="D10" s="48"/>
      <c r="E10" s="48"/>
      <c r="F10" s="4"/>
      <c r="G10" s="4"/>
      <c r="H10" s="4"/>
      <c r="I10" s="4"/>
      <c r="J10" s="4"/>
      <c r="K10" s="4"/>
      <c r="L10" s="4"/>
      <c r="M10" s="4"/>
      <c r="N10" s="5">
        <f t="shared" si="0"/>
        <v>0</v>
      </c>
    </row>
    <row r="11" spans="1:18" ht="15.5">
      <c r="A11" s="123" t="s">
        <v>14</v>
      </c>
      <c r="B11" s="3">
        <v>9.4600000000000009</v>
      </c>
      <c r="C11" s="42">
        <v>100</v>
      </c>
      <c r="D11" s="48"/>
      <c r="E11" s="48"/>
      <c r="F11" s="4">
        <f t="shared" si="1"/>
        <v>3334.65</v>
      </c>
      <c r="G11" s="4">
        <f t="shared" si="1"/>
        <v>3334.65</v>
      </c>
      <c r="H11" s="4">
        <f>+B11*$B$1*H$2%</f>
        <v>11115.500000000002</v>
      </c>
      <c r="I11" s="4">
        <f t="shared" si="2"/>
        <v>11115.500000000002</v>
      </c>
      <c r="J11" s="4">
        <f>+$B11*$B$1*J$2%</f>
        <v>22231.000000000004</v>
      </c>
      <c r="K11" s="4">
        <f t="shared" si="3"/>
        <v>4446.2000000000007</v>
      </c>
      <c r="L11" s="4">
        <f t="shared" si="3"/>
        <v>122270.50000000003</v>
      </c>
      <c r="M11" s="4">
        <f t="shared" si="3"/>
        <v>44462.000000000007</v>
      </c>
      <c r="N11" s="5">
        <f t="shared" ref="N11" si="5">SUM(F11:M11)</f>
        <v>222310.00000000003</v>
      </c>
    </row>
    <row r="12" spans="1:18" ht="15.5">
      <c r="A12" s="2" t="s">
        <v>45</v>
      </c>
      <c r="B12" s="3">
        <v>10.68</v>
      </c>
      <c r="C12" s="42">
        <v>100</v>
      </c>
      <c r="D12" s="48"/>
      <c r="E12" s="48"/>
      <c r="F12" s="4"/>
      <c r="G12" s="4"/>
      <c r="H12" s="4"/>
      <c r="I12" s="4"/>
      <c r="J12" s="4"/>
      <c r="K12" s="4"/>
      <c r="L12" s="4"/>
      <c r="M12" s="4"/>
      <c r="N12" s="5">
        <f t="shared" si="0"/>
        <v>0</v>
      </c>
    </row>
    <row r="13" spans="1:18" ht="15.5">
      <c r="A13" s="123" t="s">
        <v>15</v>
      </c>
      <c r="B13" s="3">
        <v>9.58</v>
      </c>
      <c r="C13" s="42">
        <v>90</v>
      </c>
      <c r="D13" s="48"/>
      <c r="E13" s="48"/>
      <c r="F13" s="4">
        <f t="shared" si="1"/>
        <v>3376.95</v>
      </c>
      <c r="G13" s="4">
        <f t="shared" si="1"/>
        <v>3376.95</v>
      </c>
      <c r="H13" s="4">
        <f>+B13*$B$1*H$2%</f>
        <v>11256.5</v>
      </c>
      <c r="I13" s="4">
        <f t="shared" si="2"/>
        <v>11256.5</v>
      </c>
      <c r="J13" s="4">
        <f>+$B13*$B$1*J$2%</f>
        <v>22513</v>
      </c>
      <c r="K13" s="4">
        <f t="shared" si="3"/>
        <v>4502.6000000000004</v>
      </c>
      <c r="L13" s="4">
        <f t="shared" si="3"/>
        <v>123821.50000000001</v>
      </c>
      <c r="M13" s="4">
        <f t="shared" si="3"/>
        <v>45026</v>
      </c>
      <c r="N13" s="5">
        <f t="shared" ref="N13" si="6">SUM(F13:M13)</f>
        <v>225130</v>
      </c>
    </row>
    <row r="14" spans="1:18" ht="15.5">
      <c r="A14" s="123" t="s">
        <v>46</v>
      </c>
      <c r="B14" s="3">
        <v>9.58</v>
      </c>
      <c r="C14" s="42">
        <v>100</v>
      </c>
      <c r="D14" s="48"/>
      <c r="E14" s="48"/>
      <c r="F14" s="4">
        <f t="shared" si="1"/>
        <v>3376.95</v>
      </c>
      <c r="G14" s="4">
        <f t="shared" si="1"/>
        <v>3376.95</v>
      </c>
      <c r="H14" s="4">
        <f>+B14*$B$1*H$2%</f>
        <v>11256.5</v>
      </c>
      <c r="I14" s="4">
        <f t="shared" si="2"/>
        <v>11256.5</v>
      </c>
      <c r="J14" s="4">
        <f>+$B14*$B$1*J$2%</f>
        <v>22513</v>
      </c>
      <c r="K14" s="4">
        <f t="shared" si="3"/>
        <v>4502.6000000000004</v>
      </c>
      <c r="L14" s="4">
        <f t="shared" si="3"/>
        <v>123821.50000000001</v>
      </c>
      <c r="M14" s="4">
        <f t="shared" si="3"/>
        <v>45026</v>
      </c>
      <c r="N14" s="5">
        <f t="shared" ref="N14" si="7">SUM(F14:M14)</f>
        <v>225130</v>
      </c>
    </row>
    <row r="15" spans="1:18" ht="15.5">
      <c r="A15" s="2" t="s">
        <v>218</v>
      </c>
      <c r="B15" s="3">
        <v>11</v>
      </c>
      <c r="C15" s="42">
        <v>90</v>
      </c>
      <c r="D15" s="48"/>
      <c r="E15" s="48"/>
      <c r="F15" s="4"/>
      <c r="G15" s="4"/>
      <c r="H15" s="4"/>
      <c r="I15" s="4"/>
      <c r="J15" s="4"/>
      <c r="K15" s="4"/>
      <c r="L15" s="4"/>
      <c r="M15" s="4"/>
      <c r="N15" s="5">
        <f t="shared" ref="N15" si="8">SUM(F15:M15)</f>
        <v>0</v>
      </c>
    </row>
    <row r="16" spans="1:18" ht="15.5">
      <c r="A16" s="9" t="s">
        <v>47</v>
      </c>
      <c r="B16" s="3">
        <v>10.68</v>
      </c>
      <c r="C16" s="42">
        <v>90</v>
      </c>
      <c r="D16" s="48">
        <f>+C16*$D$3</f>
        <v>2655810</v>
      </c>
      <c r="E16" s="48">
        <v>2623410</v>
      </c>
      <c r="F16" s="4"/>
      <c r="G16" s="4"/>
      <c r="H16" s="4"/>
      <c r="I16" s="4"/>
      <c r="J16" s="4"/>
      <c r="K16" s="4"/>
      <c r="L16" s="4"/>
      <c r="M16" s="4"/>
      <c r="N16" s="5">
        <f>SUM(F16:M16)</f>
        <v>0</v>
      </c>
      <c r="Q16" t="s">
        <v>334</v>
      </c>
      <c r="R16" t="s">
        <v>335</v>
      </c>
    </row>
    <row r="17" spans="1:15" ht="15.5">
      <c r="A17" s="2" t="s">
        <v>16</v>
      </c>
      <c r="B17" s="3">
        <v>11</v>
      </c>
      <c r="C17" s="42">
        <v>100</v>
      </c>
      <c r="D17" s="48"/>
      <c r="E17" s="48"/>
      <c r="F17" s="4"/>
      <c r="G17" s="4"/>
      <c r="H17" s="4"/>
      <c r="I17" s="4"/>
      <c r="J17" s="4"/>
      <c r="K17" s="4"/>
      <c r="L17" s="4"/>
      <c r="M17" s="4"/>
      <c r="N17" s="5">
        <f>SUM(F17:M17)</f>
        <v>0</v>
      </c>
    </row>
    <row r="18" spans="1:15" ht="15.5">
      <c r="A18" s="123" t="s">
        <v>52</v>
      </c>
      <c r="B18" s="3">
        <v>3</v>
      </c>
      <c r="C18" s="42">
        <v>50</v>
      </c>
      <c r="D18" s="42"/>
      <c r="E18" s="48"/>
      <c r="F18" s="4">
        <f t="shared" si="1"/>
        <v>1057.5</v>
      </c>
      <c r="G18" s="4">
        <f t="shared" si="1"/>
        <v>1057.5</v>
      </c>
      <c r="H18" s="4">
        <f>+B18*$B$1*H$2%</f>
        <v>3525</v>
      </c>
      <c r="I18" s="4">
        <f t="shared" ref="I18" si="9">+$B18*$B$1*I$2%</f>
        <v>3525</v>
      </c>
      <c r="J18" s="4">
        <f>+$B18*$B$1*J$2%</f>
        <v>7050</v>
      </c>
      <c r="K18" s="4">
        <f t="shared" ref="K18:M18" si="10">+$B18*$B$1*K$2%</f>
        <v>1410</v>
      </c>
      <c r="L18" s="4">
        <f t="shared" si="10"/>
        <v>38775</v>
      </c>
      <c r="M18" s="4">
        <f t="shared" si="10"/>
        <v>14100</v>
      </c>
      <c r="N18" s="5">
        <f t="shared" ref="N18" si="11">SUM(F18:M18)</f>
        <v>70500</v>
      </c>
    </row>
    <row r="19" spans="1:15" ht="15.5">
      <c r="A19" s="9"/>
      <c r="B19" s="9" t="s">
        <v>18</v>
      </c>
      <c r="C19" s="7"/>
      <c r="D19" s="7"/>
      <c r="E19" s="48"/>
      <c r="F19" s="7"/>
      <c r="G19" s="7"/>
      <c r="H19" s="7"/>
      <c r="I19" s="7"/>
      <c r="J19" s="7"/>
      <c r="K19" s="7"/>
      <c r="L19" s="7"/>
      <c r="M19" s="7"/>
      <c r="N19" s="8"/>
    </row>
    <row r="20" spans="1:15" ht="23.5">
      <c r="A20" s="14" t="s">
        <v>252</v>
      </c>
      <c r="B20" s="15">
        <f t="shared" ref="B20:N20" si="12">SUM(B4:B19)</f>
        <v>108.80000000000001</v>
      </c>
      <c r="C20" s="43">
        <f t="shared" si="12"/>
        <v>1086.1730344827586</v>
      </c>
      <c r="D20" s="43">
        <f t="shared" si="12"/>
        <v>9329950.0745517239</v>
      </c>
      <c r="E20" s="43">
        <f t="shared" si="12"/>
        <v>9190258</v>
      </c>
      <c r="F20" s="5">
        <f>SUM(F4:F19)</f>
        <v>15425.400000000001</v>
      </c>
      <c r="G20" s="5">
        <f>SUM(G4:G19)</f>
        <v>15425.400000000001</v>
      </c>
      <c r="H20" s="5">
        <f>SUM(H4:H19)</f>
        <v>51418</v>
      </c>
      <c r="I20" s="5">
        <f>SUM(I4:I19)</f>
        <v>51418</v>
      </c>
      <c r="J20" s="5">
        <f t="shared" si="12"/>
        <v>102836</v>
      </c>
      <c r="K20" s="5">
        <f t="shared" si="12"/>
        <v>20567.2</v>
      </c>
      <c r="L20" s="5">
        <f t="shared" si="12"/>
        <v>565598</v>
      </c>
      <c r="M20" s="5">
        <f t="shared" si="12"/>
        <v>205672</v>
      </c>
      <c r="N20" s="5">
        <f t="shared" si="12"/>
        <v>1028360</v>
      </c>
      <c r="O20" s="14" t="s">
        <v>249</v>
      </c>
    </row>
    <row r="21" spans="1:15" ht="23.5">
      <c r="A21" s="14" t="s">
        <v>251</v>
      </c>
      <c r="B21" s="15">
        <f>+B20*B1</f>
        <v>2556800.0000000005</v>
      </c>
      <c r="C21" s="12">
        <f>+C20*30000</f>
        <v>32585191.034482758</v>
      </c>
      <c r="D21" s="12"/>
      <c r="E21" s="12"/>
      <c r="F21" s="5">
        <v>754.17</v>
      </c>
      <c r="H21" s="12"/>
      <c r="I21" s="12"/>
      <c r="J21" s="12"/>
      <c r="K21" s="12"/>
      <c r="L21" s="12"/>
      <c r="M21" s="12"/>
      <c r="N21" s="5">
        <v>754.17</v>
      </c>
      <c r="O21" s="14" t="s">
        <v>150</v>
      </c>
    </row>
    <row r="22" spans="1:15" ht="23.5">
      <c r="A22" s="14" t="s">
        <v>250</v>
      </c>
      <c r="B22" s="104">
        <f>+B21/B20</f>
        <v>23500.000000000004</v>
      </c>
      <c r="C22" s="12"/>
      <c r="D22" s="12"/>
      <c r="E22" s="12"/>
      <c r="F22" s="5">
        <f>+F20*F21</f>
        <v>11633373.918</v>
      </c>
      <c r="H22" s="12"/>
      <c r="I22" s="12"/>
      <c r="J22" s="12"/>
      <c r="K22" s="12"/>
      <c r="L22" s="12"/>
      <c r="M22" s="12"/>
      <c r="N22" s="5">
        <f>+N20*N21</f>
        <v>775558261.19999993</v>
      </c>
      <c r="O22" s="14" t="s">
        <v>250</v>
      </c>
    </row>
    <row r="23" spans="1:15">
      <c r="B23" s="12">
        <f>+B21*B24</f>
        <v>1843452800.0000002</v>
      </c>
      <c r="H23" s="10"/>
    </row>
    <row r="24" spans="1:15">
      <c r="A24" t="s">
        <v>150</v>
      </c>
      <c r="B24">
        <v>721</v>
      </c>
      <c r="D24" s="11"/>
      <c r="E24" s="11"/>
      <c r="F24" s="11">
        <v>716</v>
      </c>
      <c r="G24" s="11"/>
      <c r="H24" s="10"/>
      <c r="I24" s="12"/>
    </row>
    <row r="25" spans="1:15" ht="20">
      <c r="A25" s="14" t="s">
        <v>24</v>
      </c>
      <c r="B25" s="36">
        <f>-(+'PP1'!J13+'PP1'!J21+'PP1'!J25)</f>
        <v>334593.75</v>
      </c>
      <c r="D25" s="11"/>
      <c r="E25" s="11"/>
      <c r="F25" s="11">
        <f>+-'PP1'!J33</f>
        <v>578653.75</v>
      </c>
      <c r="G25" s="47"/>
      <c r="H25" s="10"/>
      <c r="I25" s="12"/>
      <c r="M25" t="s">
        <v>275</v>
      </c>
      <c r="N25" s="11">
        <f>+'PP1'!J4</f>
        <v>126360</v>
      </c>
    </row>
    <row r="26" spans="1:15">
      <c r="A26" s="14" t="s">
        <v>25</v>
      </c>
      <c r="B26" s="36">
        <f>+N20</f>
        <v>1028360</v>
      </c>
      <c r="F26" s="132">
        <f>+N20</f>
        <v>1028360</v>
      </c>
      <c r="H26" s="10"/>
      <c r="J26" t="s">
        <v>332</v>
      </c>
      <c r="M26" t="s">
        <v>330</v>
      </c>
      <c r="N26" s="11">
        <f>+'PP1'!J21</f>
        <v>-72225</v>
      </c>
      <c r="O26" s="132">
        <f>+N26-N20</f>
        <v>-1100585</v>
      </c>
    </row>
    <row r="27" spans="1:15">
      <c r="A27" s="14" t="s">
        <v>20</v>
      </c>
      <c r="B27" s="36">
        <f>+C21-18000000</f>
        <v>14585191.034482758</v>
      </c>
      <c r="J27" t="s">
        <v>333</v>
      </c>
      <c r="M27" t="s">
        <v>331</v>
      </c>
      <c r="N27" s="11">
        <f>+'PP1'!J12</f>
        <v>77190</v>
      </c>
      <c r="O27" s="11">
        <f>+N27+N25</f>
        <v>203550</v>
      </c>
    </row>
    <row r="28" spans="1:15">
      <c r="A28" s="14" t="s">
        <v>26</v>
      </c>
      <c r="B28" s="36">
        <f>+(B25+B26)*B24+B27</f>
        <v>997274844.78448272</v>
      </c>
      <c r="F28" s="11">
        <f>+SUM(F25:F27)</f>
        <v>1607013.75</v>
      </c>
      <c r="N28" s="11">
        <f>+N25+N27+N26-N20</f>
        <v>-897035</v>
      </c>
    </row>
    <row r="30" spans="1:15">
      <c r="A30" s="14" t="s">
        <v>151</v>
      </c>
      <c r="B30" s="54">
        <f>-(+'PP1'!J29+'PP1'!J17)*B24</f>
        <v>175967260</v>
      </c>
      <c r="C30">
        <v>178785200</v>
      </c>
    </row>
    <row r="31" spans="1:15">
      <c r="B31" s="11">
        <f>+B28+B30</f>
        <v>1173242104.7844827</v>
      </c>
      <c r="C31">
        <v>599315277.24137926</v>
      </c>
      <c r="F31" s="11">
        <f>+B31-C31</f>
        <v>573926827.54310346</v>
      </c>
    </row>
    <row r="33" spans="1:15" ht="15.5">
      <c r="A33" s="14" t="s">
        <v>287</v>
      </c>
      <c r="F33">
        <v>830</v>
      </c>
      <c r="N33" s="5">
        <f>+N20*F33</f>
        <v>853538800</v>
      </c>
      <c r="O33" s="132">
        <v>-11746620.559</v>
      </c>
    </row>
  </sheetData>
  <pageMargins left="0.7" right="0.7" top="0.75" bottom="0.7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>
      <selection activeCell="I18" sqref="I18"/>
    </sheetView>
  </sheetViews>
  <sheetFormatPr baseColWidth="10" defaultRowHeight="14.5" outlineLevelCol="1"/>
  <cols>
    <col min="1" max="1" width="24.1796875" customWidth="1"/>
    <col min="2" max="2" width="24.90625" customWidth="1" outlineLevel="1"/>
    <col min="3" max="3" width="22" customWidth="1" outlineLevel="1"/>
    <col min="5" max="5" width="17.1796875" bestFit="1" customWidth="1"/>
    <col min="6" max="6" width="18.1796875" bestFit="1" customWidth="1"/>
    <col min="7" max="7" width="17.453125" bestFit="1" customWidth="1"/>
    <col min="8" max="8" width="14.54296875" bestFit="1" customWidth="1"/>
    <col min="9" max="9" width="10.81640625" customWidth="1"/>
    <col min="11" max="11" width="10.81640625" customWidth="1"/>
    <col min="12" max="13" width="14.6328125" customWidth="1"/>
    <col min="14" max="14" width="6.6328125" customWidth="1"/>
    <col min="15" max="15" width="5.1796875" customWidth="1"/>
  </cols>
  <sheetData>
    <row r="1" spans="1:21">
      <c r="E1" s="55" t="s">
        <v>152</v>
      </c>
      <c r="F1" s="55" t="s">
        <v>153</v>
      </c>
      <c r="G1" s="55" t="s">
        <v>154</v>
      </c>
      <c r="H1" s="55" t="s">
        <v>155</v>
      </c>
      <c r="I1" s="55" t="s">
        <v>156</v>
      </c>
      <c r="J1" s="55" t="s">
        <v>157</v>
      </c>
      <c r="K1" s="55" t="s">
        <v>158</v>
      </c>
      <c r="L1" s="55" t="s">
        <v>159</v>
      </c>
    </row>
    <row r="2" spans="1:21" ht="15.5">
      <c r="A2" s="56" t="s">
        <v>6</v>
      </c>
      <c r="B2" s="57" t="s">
        <v>160</v>
      </c>
      <c r="C2" s="57" t="s">
        <v>161</v>
      </c>
      <c r="D2" s="58" t="s">
        <v>162</v>
      </c>
      <c r="E2" s="59">
        <v>1.4999999999999999E-2</v>
      </c>
      <c r="F2" s="59">
        <v>1.4999999999999999E-2</v>
      </c>
      <c r="G2" s="59">
        <v>0.05</v>
      </c>
      <c r="H2" s="59">
        <v>0.05</v>
      </c>
      <c r="I2" s="59">
        <v>0.02</v>
      </c>
      <c r="J2" s="59">
        <v>0.1</v>
      </c>
      <c r="K2" s="59">
        <v>0.55000000000000004</v>
      </c>
      <c r="L2" s="60">
        <v>0.2</v>
      </c>
      <c r="M2" s="61">
        <v>1</v>
      </c>
      <c r="O2" s="62"/>
      <c r="P2" s="62"/>
      <c r="Q2" s="62"/>
      <c r="R2" s="62"/>
      <c r="S2" s="62"/>
      <c r="T2" s="62"/>
      <c r="U2" s="62"/>
    </row>
    <row r="3" spans="1:21" ht="15.5">
      <c r="A3" s="106" t="s">
        <v>47</v>
      </c>
      <c r="B3" s="111" t="s">
        <v>163</v>
      </c>
      <c r="C3" s="63" t="s">
        <v>164</v>
      </c>
      <c r="D3" s="64">
        <v>11</v>
      </c>
      <c r="E3" s="93">
        <f t="shared" ref="E3:E14" si="0">((+$R$5*D3)*$E$2)</f>
        <v>3877.5</v>
      </c>
      <c r="F3" s="93">
        <f t="shared" ref="F3:F14" si="1">((+$R$5*D3)*$F$2)</f>
        <v>3877.5</v>
      </c>
      <c r="G3" s="93">
        <f t="shared" ref="G3:G14" si="2">((+$R$5*D3)*$G$2)</f>
        <v>12925</v>
      </c>
      <c r="H3" s="93"/>
      <c r="I3" s="93"/>
      <c r="J3" s="92"/>
      <c r="K3" s="93"/>
      <c r="L3" s="93"/>
      <c r="M3" s="94">
        <f>SUM(E3:L3)</f>
        <v>20680</v>
      </c>
      <c r="N3" s="67"/>
      <c r="O3" s="68"/>
      <c r="P3" s="69" t="s">
        <v>165</v>
      </c>
      <c r="Q3" s="70" t="s">
        <v>166</v>
      </c>
      <c r="R3" s="71">
        <v>30000</v>
      </c>
      <c r="S3" s="62"/>
      <c r="T3" s="62"/>
      <c r="U3" s="62"/>
    </row>
    <row r="4" spans="1:21" ht="15.5">
      <c r="A4" s="107" t="s">
        <v>167</v>
      </c>
      <c r="B4" s="112" t="s">
        <v>168</v>
      </c>
      <c r="C4" s="63" t="s">
        <v>169</v>
      </c>
      <c r="D4" s="64">
        <v>9.14</v>
      </c>
      <c r="E4" s="93">
        <f t="shared" si="0"/>
        <v>3221.85</v>
      </c>
      <c r="F4" s="93">
        <f t="shared" si="1"/>
        <v>3221.85</v>
      </c>
      <c r="G4" s="93">
        <f t="shared" si="2"/>
        <v>10739.5</v>
      </c>
      <c r="H4" s="93"/>
      <c r="I4" s="93"/>
      <c r="J4" s="92"/>
      <c r="K4" s="93"/>
      <c r="L4" s="93"/>
      <c r="M4" s="94">
        <f>SUM(E4:L4)</f>
        <v>17183.2</v>
      </c>
      <c r="N4" s="67"/>
      <c r="O4" s="72"/>
      <c r="P4" s="69" t="s">
        <v>170</v>
      </c>
      <c r="Q4" s="70" t="s">
        <v>171</v>
      </c>
      <c r="R4" s="71">
        <v>26750</v>
      </c>
      <c r="S4" s="71"/>
      <c r="T4" s="62"/>
      <c r="U4" s="62"/>
    </row>
    <row r="5" spans="1:21" ht="15.5">
      <c r="A5" s="107" t="s">
        <v>172</v>
      </c>
      <c r="B5" s="128" t="s">
        <v>173</v>
      </c>
      <c r="C5" s="63" t="s">
        <v>174</v>
      </c>
      <c r="D5" s="64">
        <v>10.68</v>
      </c>
      <c r="E5" s="93">
        <f t="shared" si="0"/>
        <v>3764.7</v>
      </c>
      <c r="F5" s="93"/>
      <c r="G5" s="93"/>
      <c r="H5" s="93"/>
      <c r="I5" s="93"/>
      <c r="J5" s="92"/>
      <c r="K5" s="93"/>
      <c r="L5" s="93"/>
      <c r="M5" s="94">
        <f t="shared" ref="M5:M14" si="3">SUM(E5:L5)</f>
        <v>3764.7</v>
      </c>
      <c r="N5" s="67"/>
      <c r="O5" s="73"/>
      <c r="P5" s="69" t="s">
        <v>175</v>
      </c>
      <c r="Q5" s="70" t="s">
        <v>176</v>
      </c>
      <c r="R5" s="71">
        <v>23500</v>
      </c>
      <c r="S5" s="62"/>
      <c r="T5" s="62"/>
      <c r="U5" s="62"/>
    </row>
    <row r="6" spans="1:21" ht="15" customHeight="1">
      <c r="A6" s="107" t="s">
        <v>177</v>
      </c>
      <c r="B6" s="128" t="s">
        <v>178</v>
      </c>
      <c r="C6" s="63" t="s">
        <v>179</v>
      </c>
      <c r="D6" s="64">
        <v>11</v>
      </c>
      <c r="E6" s="93">
        <f t="shared" si="0"/>
        <v>3877.5</v>
      </c>
      <c r="F6" s="93"/>
      <c r="G6" s="93"/>
      <c r="H6" s="93"/>
      <c r="I6" s="93"/>
      <c r="J6" s="92"/>
      <c r="K6" s="93"/>
      <c r="L6" s="93"/>
      <c r="M6" s="94">
        <f t="shared" si="3"/>
        <v>3877.5</v>
      </c>
      <c r="N6" s="67"/>
      <c r="Q6" s="71"/>
      <c r="R6" s="62"/>
      <c r="S6" s="62"/>
      <c r="T6" s="62"/>
      <c r="U6" s="62"/>
    </row>
    <row r="7" spans="1:21" ht="13.5" customHeight="1">
      <c r="A7" s="107" t="s">
        <v>15</v>
      </c>
      <c r="B7" s="128" t="s">
        <v>180</v>
      </c>
      <c r="C7" s="63" t="s">
        <v>181</v>
      </c>
      <c r="D7" s="64">
        <v>9.58</v>
      </c>
      <c r="E7" s="93">
        <f t="shared" si="0"/>
        <v>3376.95</v>
      </c>
      <c r="F7" s="93"/>
      <c r="G7" s="93"/>
      <c r="H7" s="93"/>
      <c r="I7" s="93"/>
      <c r="J7" s="92"/>
      <c r="K7" s="93"/>
      <c r="L7" s="93"/>
      <c r="M7" s="94">
        <f t="shared" si="3"/>
        <v>3376.95</v>
      </c>
      <c r="N7" s="67"/>
      <c r="Q7" s="71"/>
      <c r="R7" s="62"/>
      <c r="S7" s="62"/>
      <c r="T7" s="62"/>
      <c r="U7" s="62"/>
    </row>
    <row r="8" spans="1:21" ht="15.5">
      <c r="A8" s="107" t="s">
        <v>14</v>
      </c>
      <c r="B8" s="128" t="s">
        <v>114</v>
      </c>
      <c r="C8" s="63" t="s">
        <v>182</v>
      </c>
      <c r="D8" s="64">
        <v>9.4600000000000009</v>
      </c>
      <c r="E8" s="93">
        <f t="shared" si="0"/>
        <v>3334.65</v>
      </c>
      <c r="F8" s="93"/>
      <c r="G8" s="93"/>
      <c r="H8" s="93"/>
      <c r="I8" s="93"/>
      <c r="J8" s="92"/>
      <c r="K8" s="93"/>
      <c r="L8" s="93"/>
      <c r="M8" s="94">
        <f t="shared" si="3"/>
        <v>3334.65</v>
      </c>
      <c r="N8" s="67"/>
      <c r="O8" s="62"/>
      <c r="P8" s="62"/>
      <c r="Q8" s="62"/>
      <c r="R8" s="62"/>
      <c r="S8" s="62"/>
      <c r="T8" s="62"/>
      <c r="U8" s="62"/>
    </row>
    <row r="9" spans="1:21">
      <c r="A9" s="105" t="s">
        <v>46</v>
      </c>
      <c r="B9" s="128" t="s">
        <v>183</v>
      </c>
      <c r="C9" s="63" t="s">
        <v>184</v>
      </c>
      <c r="D9" s="64">
        <v>11</v>
      </c>
      <c r="E9" s="93">
        <f t="shared" si="0"/>
        <v>3877.5</v>
      </c>
      <c r="F9" s="93"/>
      <c r="G9" s="93"/>
      <c r="H9" s="93"/>
      <c r="I9" s="93"/>
      <c r="J9" s="92"/>
      <c r="K9" s="93"/>
      <c r="L9" s="93"/>
      <c r="M9" s="94">
        <f t="shared" si="3"/>
        <v>3877.5</v>
      </c>
      <c r="N9" s="67"/>
      <c r="O9" s="62"/>
      <c r="P9" s="62"/>
      <c r="Q9" s="62"/>
      <c r="R9" s="62"/>
      <c r="S9" s="62"/>
      <c r="T9" s="62"/>
      <c r="U9" s="62"/>
    </row>
    <row r="10" spans="1:21">
      <c r="A10" s="105" t="s">
        <v>13</v>
      </c>
      <c r="B10" s="129" t="s">
        <v>185</v>
      </c>
      <c r="C10" s="63" t="s">
        <v>186</v>
      </c>
      <c r="D10" s="64">
        <v>11</v>
      </c>
      <c r="E10" s="93">
        <f t="shared" si="0"/>
        <v>3877.5</v>
      </c>
      <c r="F10" s="93">
        <f t="shared" si="1"/>
        <v>3877.5</v>
      </c>
      <c r="G10" s="93"/>
      <c r="H10" s="93"/>
      <c r="I10" s="93"/>
      <c r="J10" s="92"/>
      <c r="K10" s="93"/>
      <c r="L10" s="93"/>
      <c r="M10" s="94">
        <f t="shared" si="3"/>
        <v>7755</v>
      </c>
      <c r="N10" s="67"/>
      <c r="Q10" s="62"/>
      <c r="R10" s="62"/>
      <c r="S10" s="62"/>
      <c r="T10" s="62"/>
      <c r="U10" s="62"/>
    </row>
    <row r="11" spans="1:21">
      <c r="A11" s="105" t="s">
        <v>9</v>
      </c>
      <c r="B11" s="129" t="s">
        <v>187</v>
      </c>
      <c r="C11" s="63" t="s">
        <v>188</v>
      </c>
      <c r="D11" s="64">
        <v>10.039999999999999</v>
      </c>
      <c r="E11" s="93">
        <f t="shared" si="0"/>
        <v>3539.0999999999995</v>
      </c>
      <c r="F11" s="93">
        <f t="shared" si="1"/>
        <v>3539.0999999999995</v>
      </c>
      <c r="G11" s="93">
        <f t="shared" si="2"/>
        <v>11797</v>
      </c>
      <c r="H11" s="93"/>
      <c r="I11" s="93"/>
      <c r="J11" s="92"/>
      <c r="K11" s="93"/>
      <c r="L11" s="93"/>
      <c r="M11" s="94">
        <f t="shared" si="3"/>
        <v>18875.199999999997</v>
      </c>
      <c r="N11" s="67"/>
      <c r="Q11" s="62"/>
      <c r="R11" s="62"/>
      <c r="S11" s="62"/>
      <c r="T11" s="62"/>
      <c r="U11" s="62"/>
    </row>
    <row r="12" spans="1:21">
      <c r="A12" s="105" t="s">
        <v>10</v>
      </c>
      <c r="B12" s="129" t="s">
        <v>189</v>
      </c>
      <c r="C12" s="63" t="s">
        <v>190</v>
      </c>
      <c r="D12" s="64">
        <v>8.42</v>
      </c>
      <c r="E12" s="93">
        <f t="shared" si="0"/>
        <v>2968.0499999999997</v>
      </c>
      <c r="F12" s="93">
        <f t="shared" si="1"/>
        <v>2968.0499999999997</v>
      </c>
      <c r="G12" s="93">
        <f t="shared" si="2"/>
        <v>9893.5</v>
      </c>
      <c r="H12" s="93"/>
      <c r="I12" s="93"/>
      <c r="J12" s="92"/>
      <c r="K12" s="93"/>
      <c r="L12" s="93"/>
      <c r="M12" s="94">
        <f t="shared" si="3"/>
        <v>15829.599999999999</v>
      </c>
      <c r="N12" s="67"/>
      <c r="Q12" s="62"/>
      <c r="R12" s="62"/>
      <c r="S12" s="62"/>
      <c r="T12" s="62"/>
      <c r="U12" s="62"/>
    </row>
    <row r="13" spans="1:21">
      <c r="A13" s="105" t="s">
        <v>192</v>
      </c>
      <c r="B13" s="126" t="s">
        <v>193</v>
      </c>
      <c r="C13" s="75" t="s">
        <v>194</v>
      </c>
      <c r="D13" s="74">
        <v>3</v>
      </c>
      <c r="E13" s="93">
        <f t="shared" si="0"/>
        <v>1057.5</v>
      </c>
      <c r="F13" s="93"/>
      <c r="G13" s="93"/>
      <c r="H13" s="93"/>
      <c r="I13" s="93"/>
      <c r="J13" s="92"/>
      <c r="K13" s="93"/>
      <c r="L13" s="93"/>
      <c r="M13" s="94">
        <f t="shared" si="3"/>
        <v>1057.5</v>
      </c>
      <c r="N13" s="67"/>
    </row>
    <row r="14" spans="1:21">
      <c r="A14" s="105" t="s">
        <v>11</v>
      </c>
      <c r="B14" s="127" t="s">
        <v>195</v>
      </c>
      <c r="C14" s="63" t="s">
        <v>196</v>
      </c>
      <c r="D14" s="74">
        <v>3</v>
      </c>
      <c r="E14" s="93">
        <f t="shared" si="0"/>
        <v>1057.5</v>
      </c>
      <c r="F14" s="93">
        <f t="shared" si="1"/>
        <v>1057.5</v>
      </c>
      <c r="G14" s="93">
        <f t="shared" si="2"/>
        <v>3525</v>
      </c>
      <c r="H14" s="93">
        <f t="shared" ref="H14" si="4">((+$R$5*D14)*$H$2)</f>
        <v>3525</v>
      </c>
      <c r="I14" s="93"/>
      <c r="J14" s="92"/>
      <c r="K14" s="93"/>
      <c r="L14" s="93"/>
      <c r="M14" s="94">
        <f t="shared" si="3"/>
        <v>9165</v>
      </c>
      <c r="N14" s="67"/>
    </row>
    <row r="15" spans="1:21">
      <c r="E15" s="95">
        <f>SUM(E3:E14)</f>
        <v>37830.300000000003</v>
      </c>
      <c r="F15" s="95">
        <f>SUM(F3:F14)</f>
        <v>18541.5</v>
      </c>
      <c r="G15" s="95">
        <f t="shared" ref="G15:H15" si="5">SUM(G3:G14)</f>
        <v>48880</v>
      </c>
      <c r="H15" s="95">
        <f t="shared" si="5"/>
        <v>3525</v>
      </c>
      <c r="I15" s="62"/>
      <c r="J15" s="62"/>
      <c r="K15" s="62"/>
      <c r="M15" s="76">
        <f>SUM(M3:M14)</f>
        <v>108776.79999999999</v>
      </c>
      <c r="N15" t="s">
        <v>258</v>
      </c>
    </row>
    <row r="16" spans="1:21">
      <c r="E16" s="55" t="s">
        <v>152</v>
      </c>
      <c r="F16" s="55" t="s">
        <v>153</v>
      </c>
      <c r="G16" s="55" t="s">
        <v>154</v>
      </c>
      <c r="H16" s="55" t="s">
        <v>155</v>
      </c>
      <c r="I16" s="55" t="s">
        <v>156</v>
      </c>
      <c r="J16" s="55" t="s">
        <v>157</v>
      </c>
      <c r="K16" s="55" t="s">
        <v>158</v>
      </c>
    </row>
    <row r="17" spans="1:13" ht="15.5">
      <c r="A17" s="56" t="s">
        <v>6</v>
      </c>
      <c r="B17" s="57" t="s">
        <v>160</v>
      </c>
      <c r="C17" s="57" t="s">
        <v>161</v>
      </c>
      <c r="D17" s="77" t="s">
        <v>162</v>
      </c>
      <c r="E17" s="61">
        <v>0.2</v>
      </c>
      <c r="F17" s="61">
        <v>0.1</v>
      </c>
      <c r="G17" s="61">
        <v>0.1</v>
      </c>
      <c r="H17" s="61">
        <v>0.1</v>
      </c>
      <c r="I17" s="61">
        <v>0.15</v>
      </c>
      <c r="J17" s="61">
        <v>0.15</v>
      </c>
      <c r="K17" s="61">
        <v>0.2</v>
      </c>
      <c r="L17" s="61">
        <v>1</v>
      </c>
    </row>
    <row r="18" spans="1:13" ht="15.5">
      <c r="A18" s="78" t="s">
        <v>23</v>
      </c>
      <c r="B18" s="79" t="s">
        <v>197</v>
      </c>
      <c r="C18" s="79" t="s">
        <v>198</v>
      </c>
      <c r="D18" s="80">
        <v>11</v>
      </c>
      <c r="E18" s="103">
        <f>((+$R$4*D18)*E$17)</f>
        <v>58850</v>
      </c>
      <c r="F18" s="103">
        <f>((+$R$4*D18)*$F$17)</f>
        <v>29425</v>
      </c>
      <c r="G18" s="65">
        <f>((+$R$4*D18)*$G$17)</f>
        <v>29425</v>
      </c>
      <c r="H18" s="65">
        <f>((+$R$4*D18)*$H$17)</f>
        <v>29425</v>
      </c>
      <c r="I18" s="103">
        <f t="shared" ref="I18:K19" si="6">((+$R$4*$D18)*I$17)</f>
        <v>44137.5</v>
      </c>
      <c r="J18" s="65">
        <f t="shared" si="6"/>
        <v>44137.5</v>
      </c>
      <c r="K18" s="65">
        <f t="shared" si="6"/>
        <v>58850</v>
      </c>
      <c r="L18" s="66">
        <f>SUM(E18:K18)</f>
        <v>294250</v>
      </c>
      <c r="M18" s="76">
        <f>+SUM(E18:F18,I18)</f>
        <v>132412.5</v>
      </c>
    </row>
    <row r="19" spans="1:13">
      <c r="A19" s="81" t="s">
        <v>21</v>
      </c>
      <c r="B19" s="79" t="s">
        <v>199</v>
      </c>
      <c r="C19" s="82" t="s">
        <v>200</v>
      </c>
      <c r="D19" s="80">
        <v>10.53</v>
      </c>
      <c r="E19" s="103">
        <f>((+$R$4*D19)*$E$17)</f>
        <v>56335.5</v>
      </c>
      <c r="F19" s="103">
        <f>((+$R$4*D19)*$F$17)</f>
        <v>28167.75</v>
      </c>
      <c r="G19" s="65">
        <f>((+$R$4*D19)*$G$17)</f>
        <v>28167.75</v>
      </c>
      <c r="H19" s="65">
        <f>((+$R$4*$D19)*$H$17)</f>
        <v>28167.75</v>
      </c>
      <c r="I19" s="65">
        <f t="shared" si="6"/>
        <v>42251.625</v>
      </c>
      <c r="J19" s="65">
        <f t="shared" si="6"/>
        <v>42251.625</v>
      </c>
      <c r="K19" s="65">
        <f t="shared" si="6"/>
        <v>56335.5</v>
      </c>
      <c r="L19" s="66">
        <f t="shared" ref="L19" si="7">SUM(E19:K19)</f>
        <v>281677.5</v>
      </c>
      <c r="M19" s="76">
        <f>+SUM(E19:G19,I19)</f>
        <v>154922.625</v>
      </c>
    </row>
    <row r="20" spans="1:13">
      <c r="E20" s="119">
        <v>52110.34</v>
      </c>
      <c r="F20" s="76">
        <f>+E20-E19</f>
        <v>-4225.1600000000035</v>
      </c>
      <c r="L20" s="76">
        <f>SUM(L18:L19)</f>
        <v>575927.5</v>
      </c>
    </row>
    <row r="21" spans="1:13">
      <c r="E21" s="55" t="s">
        <v>152</v>
      </c>
      <c r="F21" s="55" t="s">
        <v>153</v>
      </c>
      <c r="G21" s="55" t="s">
        <v>154</v>
      </c>
      <c r="H21" s="55" t="s">
        <v>155</v>
      </c>
      <c r="I21" s="55" t="s">
        <v>156</v>
      </c>
      <c r="J21" s="55" t="s">
        <v>157</v>
      </c>
      <c r="K21" s="55" t="s">
        <v>158</v>
      </c>
    </row>
    <row r="22" spans="1:13" ht="15.5">
      <c r="A22" s="56" t="s">
        <v>6</v>
      </c>
      <c r="B22" s="57" t="s">
        <v>160</v>
      </c>
      <c r="C22" s="57" t="s">
        <v>161</v>
      </c>
      <c r="D22" s="58" t="s">
        <v>162</v>
      </c>
      <c r="E22" s="61">
        <v>0.2</v>
      </c>
      <c r="F22" s="61">
        <v>0.1</v>
      </c>
      <c r="G22" s="61">
        <v>0.1</v>
      </c>
      <c r="H22" s="61">
        <v>0.1</v>
      </c>
      <c r="I22" s="61">
        <v>0.15</v>
      </c>
      <c r="J22" s="61">
        <v>0.15</v>
      </c>
      <c r="K22" s="61">
        <v>0.2</v>
      </c>
      <c r="L22" s="61">
        <v>1</v>
      </c>
    </row>
    <row r="23" spans="1:13">
      <c r="A23" s="83" t="s">
        <v>22</v>
      </c>
      <c r="B23" s="84" t="s">
        <v>201</v>
      </c>
      <c r="C23" s="85" t="s">
        <v>202</v>
      </c>
      <c r="D23" s="86">
        <v>10.53</v>
      </c>
      <c r="E23" s="87">
        <f t="shared" ref="E23:K23" si="8">((+$R$3*$D23)*E$22)</f>
        <v>63180</v>
      </c>
      <c r="F23" s="87">
        <f t="shared" si="8"/>
        <v>31590</v>
      </c>
      <c r="G23" s="87">
        <f t="shared" si="8"/>
        <v>31590</v>
      </c>
      <c r="H23" s="87">
        <f t="shared" si="8"/>
        <v>31590</v>
      </c>
      <c r="I23" s="87">
        <f t="shared" si="8"/>
        <v>47385</v>
      </c>
      <c r="J23" s="87">
        <f t="shared" si="8"/>
        <v>47385</v>
      </c>
      <c r="K23" s="87">
        <f t="shared" si="8"/>
        <v>63180</v>
      </c>
      <c r="L23" s="88">
        <f>SUM(E23:K23)</f>
        <v>315900</v>
      </c>
      <c r="M23" s="76">
        <f>+SUM(E23:G23,I23)</f>
        <v>173745</v>
      </c>
    </row>
    <row r="25" spans="1:13">
      <c r="E25" s="76">
        <f>+E19+E15+F15+F19</f>
        <v>140875.04999999999</v>
      </c>
    </row>
    <row r="26" spans="1:13">
      <c r="A26" t="s">
        <v>38</v>
      </c>
      <c r="E26" s="11">
        <f>+'PP1'!J4</f>
        <v>126360</v>
      </c>
    </row>
    <row r="27" spans="1:13">
      <c r="E27" s="11">
        <f>+E15-E26</f>
        <v>-88529.7</v>
      </c>
    </row>
    <row r="28" spans="1:13">
      <c r="E28" s="11">
        <f>+E27+E19+F19+G19</f>
        <v>24141.300000000003</v>
      </c>
      <c r="F28" s="76">
        <f>+E28+M15-E15</f>
        <v>95087.799999999974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8"/>
  <sheetViews>
    <sheetView topLeftCell="A80" workbookViewId="0">
      <selection activeCell="C103" sqref="C103"/>
    </sheetView>
  </sheetViews>
  <sheetFormatPr baseColWidth="10" defaultRowHeight="14.5"/>
  <cols>
    <col min="1" max="1" width="19.1796875" bestFit="1" customWidth="1"/>
    <col min="2" max="2" width="21.7265625" bestFit="1" customWidth="1"/>
    <col min="3" max="3" width="16.6328125" bestFit="1" customWidth="1"/>
    <col min="4" max="4" width="13.26953125" bestFit="1" customWidth="1"/>
    <col min="5" max="5" width="30.6328125" bestFit="1" customWidth="1"/>
    <col min="6" max="6" width="10.1796875" bestFit="1" customWidth="1"/>
  </cols>
  <sheetData>
    <row r="1" spans="1:6">
      <c r="A1" s="41" t="s">
        <v>125</v>
      </c>
      <c r="B1" s="41" t="s">
        <v>124</v>
      </c>
      <c r="C1" s="41" t="s">
        <v>123</v>
      </c>
      <c r="D1" s="41" t="s">
        <v>122</v>
      </c>
      <c r="E1" s="41" t="s">
        <v>121</v>
      </c>
      <c r="F1" s="41" t="s">
        <v>120</v>
      </c>
    </row>
    <row r="2" spans="1:6">
      <c r="A2" t="s">
        <v>119</v>
      </c>
      <c r="B2" t="s">
        <v>110</v>
      </c>
      <c r="C2" t="s">
        <v>118</v>
      </c>
      <c r="D2" t="s">
        <v>117</v>
      </c>
      <c r="E2" t="s">
        <v>54</v>
      </c>
      <c r="F2" t="s">
        <v>116</v>
      </c>
    </row>
    <row r="3" spans="1:6">
      <c r="A3" t="s">
        <v>115</v>
      </c>
      <c r="B3" t="s">
        <v>110</v>
      </c>
      <c r="C3" t="s">
        <v>114</v>
      </c>
      <c r="D3" t="s">
        <v>113</v>
      </c>
      <c r="E3" t="s">
        <v>67</v>
      </c>
      <c r="F3" t="s">
        <v>112</v>
      </c>
    </row>
    <row r="4" spans="1:6">
      <c r="A4" t="s">
        <v>111</v>
      </c>
      <c r="B4" t="s">
        <v>110</v>
      </c>
      <c r="C4" t="s">
        <v>109</v>
      </c>
      <c r="D4" t="s">
        <v>108</v>
      </c>
      <c r="E4" t="s">
        <v>107</v>
      </c>
      <c r="F4" t="s">
        <v>106</v>
      </c>
    </row>
    <row r="5" spans="1:6">
      <c r="A5" t="s">
        <v>105</v>
      </c>
      <c r="B5" t="s">
        <v>56</v>
      </c>
      <c r="C5" t="s">
        <v>92</v>
      </c>
      <c r="D5" t="s">
        <v>104</v>
      </c>
      <c r="E5" t="s">
        <v>79</v>
      </c>
      <c r="F5" t="s">
        <v>103</v>
      </c>
    </row>
    <row r="6" spans="1:6">
      <c r="A6" t="s">
        <v>82</v>
      </c>
      <c r="B6" t="s">
        <v>56</v>
      </c>
      <c r="C6" t="s">
        <v>81</v>
      </c>
      <c r="D6" t="s">
        <v>102</v>
      </c>
      <c r="E6" t="s">
        <v>79</v>
      </c>
      <c r="F6" t="s">
        <v>101</v>
      </c>
    </row>
    <row r="7" spans="1:6">
      <c r="A7" t="s">
        <v>100</v>
      </c>
      <c r="B7" t="s">
        <v>56</v>
      </c>
      <c r="C7" t="s">
        <v>99</v>
      </c>
      <c r="D7" t="s">
        <v>98</v>
      </c>
      <c r="E7" t="s">
        <v>67</v>
      </c>
      <c r="F7" t="s">
        <v>97</v>
      </c>
    </row>
    <row r="8" spans="1:6">
      <c r="A8" t="s">
        <v>96</v>
      </c>
      <c r="B8" t="s">
        <v>56</v>
      </c>
      <c r="C8" t="s">
        <v>92</v>
      </c>
      <c r="D8" t="s">
        <v>95</v>
      </c>
      <c r="E8" t="s">
        <v>94</v>
      </c>
      <c r="F8" t="s">
        <v>90</v>
      </c>
    </row>
    <row r="9" spans="1:6">
      <c r="A9" t="s">
        <v>93</v>
      </c>
      <c r="B9" t="s">
        <v>56</v>
      </c>
      <c r="C9" t="s">
        <v>92</v>
      </c>
      <c r="D9" t="s">
        <v>91</v>
      </c>
      <c r="E9" t="s">
        <v>79</v>
      </c>
      <c r="F9" t="s">
        <v>90</v>
      </c>
    </row>
    <row r="10" spans="1:6">
      <c r="A10" t="s">
        <v>89</v>
      </c>
      <c r="B10" t="s">
        <v>56</v>
      </c>
      <c r="C10" t="s">
        <v>84</v>
      </c>
      <c r="D10" t="s">
        <v>88</v>
      </c>
      <c r="E10" t="s">
        <v>87</v>
      </c>
      <c r="F10" t="s">
        <v>86</v>
      </c>
    </row>
    <row r="11" spans="1:6">
      <c r="A11" t="s">
        <v>85</v>
      </c>
      <c r="B11" t="s">
        <v>56</v>
      </c>
      <c r="C11" t="s">
        <v>84</v>
      </c>
      <c r="D11" t="s">
        <v>83</v>
      </c>
      <c r="E11" t="s">
        <v>59</v>
      </c>
      <c r="F11" t="s">
        <v>78</v>
      </c>
    </row>
    <row r="12" spans="1:6">
      <c r="A12" t="s">
        <v>82</v>
      </c>
      <c r="B12" t="s">
        <v>56</v>
      </c>
      <c r="C12" t="s">
        <v>81</v>
      </c>
      <c r="D12" t="s">
        <v>80</v>
      </c>
      <c r="E12" t="s">
        <v>79</v>
      </c>
      <c r="F12" t="s">
        <v>78</v>
      </c>
    </row>
    <row r="13" spans="1:6">
      <c r="A13" t="s">
        <v>77</v>
      </c>
      <c r="B13" t="s">
        <v>56</v>
      </c>
      <c r="C13" t="s">
        <v>76</v>
      </c>
      <c r="E13" t="s">
        <v>75</v>
      </c>
      <c r="F13" t="s">
        <v>74</v>
      </c>
    </row>
    <row r="14" spans="1:6">
      <c r="A14" t="s">
        <v>73</v>
      </c>
      <c r="B14" t="s">
        <v>56</v>
      </c>
      <c r="C14" t="s">
        <v>72</v>
      </c>
      <c r="E14" t="s">
        <v>71</v>
      </c>
      <c r="F14" t="s">
        <v>70</v>
      </c>
    </row>
    <row r="15" spans="1:6">
      <c r="A15" t="s">
        <v>69</v>
      </c>
      <c r="B15" t="s">
        <v>56</v>
      </c>
      <c r="C15" t="s">
        <v>68</v>
      </c>
      <c r="E15" t="s">
        <v>67</v>
      </c>
      <c r="F15" t="s">
        <v>66</v>
      </c>
    </row>
    <row r="16" spans="1:6">
      <c r="A16" t="s">
        <v>65</v>
      </c>
      <c r="B16" t="s">
        <v>56</v>
      </c>
      <c r="C16" t="s">
        <v>64</v>
      </c>
      <c r="E16" t="s">
        <v>63</v>
      </c>
      <c r="F16" t="s">
        <v>62</v>
      </c>
    </row>
    <row r="17" spans="1:7">
      <c r="A17" t="s">
        <v>61</v>
      </c>
      <c r="B17" t="s">
        <v>56</v>
      </c>
      <c r="C17" t="s">
        <v>60</v>
      </c>
      <c r="E17" t="s">
        <v>59</v>
      </c>
      <c r="F17" t="s">
        <v>58</v>
      </c>
    </row>
    <row r="18" spans="1:7">
      <c r="A18" t="s">
        <v>57</v>
      </c>
      <c r="B18" t="s">
        <v>56</v>
      </c>
      <c r="C18" t="s">
        <v>55</v>
      </c>
      <c r="E18" t="s">
        <v>54</v>
      </c>
      <c r="F18" t="s">
        <v>53</v>
      </c>
    </row>
    <row r="21" spans="1:7" ht="15" thickBot="1">
      <c r="A21" s="91">
        <v>44419</v>
      </c>
    </row>
    <row r="22" spans="1:7" ht="15" thickBot="1">
      <c r="A22" s="114" t="s">
        <v>220</v>
      </c>
      <c r="B22" s="114" t="s">
        <v>221</v>
      </c>
      <c r="C22" s="114" t="s">
        <v>222</v>
      </c>
      <c r="D22" s="114" t="s">
        <v>223</v>
      </c>
      <c r="E22" s="114" t="s">
        <v>123</v>
      </c>
      <c r="F22" s="114" t="s">
        <v>120</v>
      </c>
      <c r="G22" s="114" t="s">
        <v>121</v>
      </c>
    </row>
    <row r="23" spans="1:7" ht="15" thickBot="1">
      <c r="A23" s="115" t="s">
        <v>224</v>
      </c>
      <c r="B23" s="115" t="s">
        <v>225</v>
      </c>
      <c r="C23" s="115" t="s">
        <v>226</v>
      </c>
      <c r="D23" s="115" t="s">
        <v>98</v>
      </c>
      <c r="E23" s="115" t="s">
        <v>99</v>
      </c>
      <c r="F23" s="115" t="s">
        <v>97</v>
      </c>
      <c r="G23" s="115" t="s">
        <v>67</v>
      </c>
    </row>
    <row r="24" spans="1:7" ht="15" thickBot="1">
      <c r="A24" s="115" t="s">
        <v>229</v>
      </c>
      <c r="B24" s="115" t="s">
        <v>225</v>
      </c>
      <c r="C24" s="115" t="s">
        <v>226</v>
      </c>
      <c r="D24" s="115" t="s">
        <v>91</v>
      </c>
      <c r="E24" s="115" t="s">
        <v>92</v>
      </c>
      <c r="F24" s="115" t="s">
        <v>90</v>
      </c>
      <c r="G24" s="115" t="s">
        <v>79</v>
      </c>
    </row>
    <row r="25" spans="1:7" ht="15" thickBot="1">
      <c r="A25" s="115" t="s">
        <v>234</v>
      </c>
      <c r="B25" s="115" t="s">
        <v>225</v>
      </c>
      <c r="C25" s="115" t="s">
        <v>226</v>
      </c>
      <c r="D25" s="115" t="s">
        <v>83</v>
      </c>
      <c r="E25" s="115" t="s">
        <v>84</v>
      </c>
      <c r="F25" s="115" t="s">
        <v>78</v>
      </c>
      <c r="G25" s="115" t="s">
        <v>59</v>
      </c>
    </row>
    <row r="26" spans="1:7" ht="15" thickBot="1">
      <c r="A26" s="115" t="s">
        <v>241</v>
      </c>
      <c r="B26" s="115" t="s">
        <v>225</v>
      </c>
      <c r="C26" s="115" t="s">
        <v>226</v>
      </c>
      <c r="D26" s="115" t="s">
        <v>108</v>
      </c>
      <c r="E26" s="115" t="s">
        <v>109</v>
      </c>
      <c r="F26" s="115" t="s">
        <v>106</v>
      </c>
      <c r="G26" s="115" t="s">
        <v>107</v>
      </c>
    </row>
    <row r="27" spans="1:7" ht="15" thickBot="1">
      <c r="A27" s="115" t="s">
        <v>242</v>
      </c>
      <c r="B27" s="115" t="s">
        <v>225</v>
      </c>
      <c r="C27" s="115" t="s">
        <v>226</v>
      </c>
      <c r="D27" s="115" t="s">
        <v>113</v>
      </c>
      <c r="E27" s="115" t="s">
        <v>114</v>
      </c>
      <c r="F27" s="115" t="s">
        <v>112</v>
      </c>
      <c r="G27" s="115" t="s">
        <v>67</v>
      </c>
    </row>
    <row r="28" spans="1:7" ht="15" thickBot="1">
      <c r="A28" s="115" t="s">
        <v>243</v>
      </c>
      <c r="B28" s="115" t="s">
        <v>225</v>
      </c>
      <c r="C28" s="115" t="s">
        <v>226</v>
      </c>
      <c r="D28" s="115" t="s">
        <v>117</v>
      </c>
      <c r="E28" s="115" t="s">
        <v>118</v>
      </c>
      <c r="F28" s="115" t="s">
        <v>116</v>
      </c>
      <c r="G28" s="115" t="s">
        <v>54</v>
      </c>
    </row>
    <row r="29" spans="1:7" ht="15" thickBot="1">
      <c r="A29" s="115" t="s">
        <v>244</v>
      </c>
      <c r="B29" s="115" t="s">
        <v>225</v>
      </c>
      <c r="C29" s="115" t="s">
        <v>226</v>
      </c>
      <c r="D29" s="115" t="s">
        <v>80</v>
      </c>
      <c r="E29" s="115" t="s">
        <v>81</v>
      </c>
      <c r="F29" s="115" t="s">
        <v>78</v>
      </c>
      <c r="G29" s="115" t="s">
        <v>63</v>
      </c>
    </row>
    <row r="30" spans="1:7" ht="15" thickBot="1">
      <c r="A30" s="115" t="s">
        <v>227</v>
      </c>
      <c r="B30" s="115" t="s">
        <v>225</v>
      </c>
      <c r="C30" s="115" t="s">
        <v>228</v>
      </c>
      <c r="D30" s="115" t="s">
        <v>255</v>
      </c>
      <c r="E30" s="115" t="s">
        <v>64</v>
      </c>
      <c r="F30" s="115" t="s">
        <v>62</v>
      </c>
      <c r="G30" s="115" t="s">
        <v>63</v>
      </c>
    </row>
    <row r="31" spans="1:7" ht="15" thickBot="1">
      <c r="A31" s="115" t="s">
        <v>230</v>
      </c>
      <c r="B31" s="115" t="s">
        <v>225</v>
      </c>
      <c r="C31" s="115" t="s">
        <v>228</v>
      </c>
      <c r="D31" s="115" t="s">
        <v>95</v>
      </c>
      <c r="E31" s="115" t="s">
        <v>92</v>
      </c>
      <c r="F31" s="115" t="s">
        <v>90</v>
      </c>
      <c r="G31" s="115" t="s">
        <v>94</v>
      </c>
    </row>
    <row r="32" spans="1:7" ht="15" thickBot="1">
      <c r="A32" s="115" t="s">
        <v>231</v>
      </c>
      <c r="B32" s="115" t="s">
        <v>225</v>
      </c>
      <c r="C32" s="115" t="s">
        <v>228</v>
      </c>
      <c r="D32" s="115" t="s">
        <v>232</v>
      </c>
      <c r="E32" s="115" t="s">
        <v>76</v>
      </c>
      <c r="F32" s="115" t="s">
        <v>74</v>
      </c>
      <c r="G32" s="115" t="s">
        <v>75</v>
      </c>
    </row>
    <row r="33" spans="1:7" ht="15" thickBot="1">
      <c r="A33" s="115" t="s">
        <v>233</v>
      </c>
      <c r="B33" s="115" t="s">
        <v>225</v>
      </c>
      <c r="C33" s="115" t="s">
        <v>228</v>
      </c>
      <c r="D33" s="115" t="s">
        <v>88</v>
      </c>
      <c r="E33" s="115" t="s">
        <v>84</v>
      </c>
      <c r="F33" s="115" t="s">
        <v>86</v>
      </c>
      <c r="G33" s="115" t="s">
        <v>87</v>
      </c>
    </row>
    <row r="34" spans="1:7" ht="15" thickBot="1">
      <c r="A34" s="115" t="s">
        <v>235</v>
      </c>
      <c r="B34" s="115" t="s">
        <v>225</v>
      </c>
      <c r="C34" s="115" t="s">
        <v>228</v>
      </c>
      <c r="D34" s="115" t="s">
        <v>256</v>
      </c>
      <c r="E34" s="115" t="s">
        <v>55</v>
      </c>
      <c r="F34" s="115" t="s">
        <v>53</v>
      </c>
      <c r="G34" s="115" t="s">
        <v>54</v>
      </c>
    </row>
    <row r="35" spans="1:7" ht="15" thickBot="1">
      <c r="A35" s="115" t="s">
        <v>236</v>
      </c>
      <c r="B35" s="115" t="s">
        <v>225</v>
      </c>
      <c r="C35" s="115" t="s">
        <v>228</v>
      </c>
      <c r="D35" s="115"/>
      <c r="E35" s="115" t="s">
        <v>68</v>
      </c>
      <c r="F35" s="115" t="s">
        <v>66</v>
      </c>
      <c r="G35" s="115" t="s">
        <v>67</v>
      </c>
    </row>
    <row r="36" spans="1:7" ht="15" thickBot="1">
      <c r="A36" s="115" t="s">
        <v>237</v>
      </c>
      <c r="B36" s="115" t="s">
        <v>225</v>
      </c>
      <c r="C36" s="115" t="s">
        <v>228</v>
      </c>
      <c r="D36" s="115" t="s">
        <v>257</v>
      </c>
      <c r="E36" s="115" t="s">
        <v>60</v>
      </c>
      <c r="F36" s="115" t="s">
        <v>58</v>
      </c>
      <c r="G36" s="115" t="s">
        <v>59</v>
      </c>
    </row>
    <row r="37" spans="1:7" ht="15" thickBot="1">
      <c r="A37" s="115" t="s">
        <v>238</v>
      </c>
      <c r="B37" s="115" t="s">
        <v>225</v>
      </c>
      <c r="C37" s="115" t="s">
        <v>228</v>
      </c>
      <c r="D37" s="115" t="s">
        <v>104</v>
      </c>
      <c r="E37" s="115" t="s">
        <v>92</v>
      </c>
      <c r="F37" s="115" t="s">
        <v>103</v>
      </c>
      <c r="G37" s="115" t="s">
        <v>79</v>
      </c>
    </row>
    <row r="38" spans="1:7" ht="15" thickBot="1">
      <c r="A38" s="115" t="s">
        <v>239</v>
      </c>
      <c r="B38" s="115" t="s">
        <v>225</v>
      </c>
      <c r="C38" s="115" t="s">
        <v>228</v>
      </c>
      <c r="D38" s="115" t="s">
        <v>240</v>
      </c>
      <c r="E38" s="115" t="s">
        <v>72</v>
      </c>
      <c r="F38" s="115" t="s">
        <v>70</v>
      </c>
      <c r="G38" s="115" t="s">
        <v>71</v>
      </c>
    </row>
    <row r="39" spans="1:7" ht="15" thickBot="1">
      <c r="A39" s="115" t="s">
        <v>244</v>
      </c>
      <c r="B39" s="115" t="s">
        <v>225</v>
      </c>
      <c r="C39" s="115" t="s">
        <v>228</v>
      </c>
      <c r="D39" s="115" t="s">
        <v>102</v>
      </c>
      <c r="E39" s="115" t="s">
        <v>81</v>
      </c>
      <c r="F39" s="115" t="s">
        <v>101</v>
      </c>
      <c r="G39" s="115" t="s">
        <v>79</v>
      </c>
    </row>
    <row r="42" spans="1:7" ht="15" thickBot="1">
      <c r="A42" s="121">
        <v>44509</v>
      </c>
    </row>
    <row r="43" spans="1:7" ht="15" thickBot="1">
      <c r="A43" s="134" t="s">
        <v>220</v>
      </c>
      <c r="B43" s="134" t="s">
        <v>221</v>
      </c>
      <c r="C43" s="134" t="s">
        <v>222</v>
      </c>
      <c r="D43" s="134" t="s">
        <v>223</v>
      </c>
      <c r="E43" s="134" t="s">
        <v>123</v>
      </c>
      <c r="F43" s="134" t="s">
        <v>120</v>
      </c>
      <c r="G43" s="134" t="s">
        <v>121</v>
      </c>
    </row>
    <row r="44" spans="1:7" ht="15" thickBot="1">
      <c r="A44" s="115" t="s">
        <v>224</v>
      </c>
      <c r="B44" s="115" t="s">
        <v>225</v>
      </c>
      <c r="C44" s="115" t="s">
        <v>226</v>
      </c>
      <c r="D44" s="115" t="s">
        <v>98</v>
      </c>
      <c r="E44" s="115" t="s">
        <v>99</v>
      </c>
      <c r="F44" s="115" t="s">
        <v>97</v>
      </c>
      <c r="G44" s="115" t="s">
        <v>67</v>
      </c>
    </row>
    <row r="45" spans="1:7" ht="15" thickBot="1">
      <c r="A45" s="115" t="s">
        <v>227</v>
      </c>
      <c r="B45" s="115" t="s">
        <v>225</v>
      </c>
      <c r="C45" s="115" t="s">
        <v>226</v>
      </c>
      <c r="D45" s="115" t="s">
        <v>255</v>
      </c>
      <c r="E45" s="115" t="s">
        <v>64</v>
      </c>
      <c r="F45" s="115" t="s">
        <v>62</v>
      </c>
      <c r="G45" s="115" t="s">
        <v>63</v>
      </c>
    </row>
    <row r="46" spans="1:7" ht="15" thickBot="1">
      <c r="A46" s="115" t="s">
        <v>229</v>
      </c>
      <c r="B46" s="115" t="s">
        <v>225</v>
      </c>
      <c r="C46" s="115" t="s">
        <v>226</v>
      </c>
      <c r="D46" s="115" t="s">
        <v>91</v>
      </c>
      <c r="E46" s="115" t="s">
        <v>92</v>
      </c>
      <c r="F46" s="115" t="s">
        <v>90</v>
      </c>
      <c r="G46" s="115" t="s">
        <v>79</v>
      </c>
    </row>
    <row r="47" spans="1:7" ht="15" thickBot="1">
      <c r="A47" s="115" t="s">
        <v>230</v>
      </c>
      <c r="B47" s="115" t="s">
        <v>225</v>
      </c>
      <c r="C47" s="115" t="s">
        <v>226</v>
      </c>
      <c r="D47" s="115" t="s">
        <v>95</v>
      </c>
      <c r="E47" s="115" t="s">
        <v>92</v>
      </c>
      <c r="F47" s="115" t="s">
        <v>90</v>
      </c>
      <c r="G47" s="115" t="s">
        <v>94</v>
      </c>
    </row>
    <row r="48" spans="1:7" ht="15" thickBot="1">
      <c r="A48" s="115" t="s">
        <v>289</v>
      </c>
      <c r="B48" s="115" t="s">
        <v>225</v>
      </c>
      <c r="C48" s="115" t="s">
        <v>228</v>
      </c>
      <c r="D48" s="115" t="s">
        <v>290</v>
      </c>
      <c r="E48" s="115" t="s">
        <v>291</v>
      </c>
      <c r="F48" s="115" t="s">
        <v>292</v>
      </c>
      <c r="G48" s="115" t="s">
        <v>293</v>
      </c>
    </row>
    <row r="49" spans="1:7" ht="15" thickBot="1">
      <c r="A49" s="115" t="s">
        <v>231</v>
      </c>
      <c r="B49" s="115" t="s">
        <v>225</v>
      </c>
      <c r="C49" s="115" t="s">
        <v>228</v>
      </c>
      <c r="D49" s="115" t="s">
        <v>232</v>
      </c>
      <c r="E49" s="115" t="s">
        <v>76</v>
      </c>
      <c r="F49" s="115" t="s">
        <v>74</v>
      </c>
      <c r="G49" s="115" t="s">
        <v>75</v>
      </c>
    </row>
    <row r="50" spans="1:7" ht="15" thickBot="1">
      <c r="A50" s="115" t="s">
        <v>294</v>
      </c>
      <c r="B50" s="115" t="s">
        <v>225</v>
      </c>
      <c r="C50" s="115" t="s">
        <v>228</v>
      </c>
      <c r="D50" s="115"/>
      <c r="E50" s="115" t="s">
        <v>295</v>
      </c>
      <c r="F50" s="115" t="s">
        <v>296</v>
      </c>
      <c r="G50" s="115" t="s">
        <v>297</v>
      </c>
    </row>
    <row r="51" spans="1:7" ht="15" thickBot="1">
      <c r="A51" s="115" t="s">
        <v>233</v>
      </c>
      <c r="B51" s="115" t="s">
        <v>225</v>
      </c>
      <c r="C51" s="115" t="s">
        <v>228</v>
      </c>
      <c r="D51" s="115" t="s">
        <v>88</v>
      </c>
      <c r="E51" s="115" t="s">
        <v>84</v>
      </c>
      <c r="F51" s="115" t="s">
        <v>86</v>
      </c>
      <c r="G51" s="115" t="s">
        <v>87</v>
      </c>
    </row>
    <row r="52" spans="1:7" ht="15" thickBot="1">
      <c r="A52" s="115" t="s">
        <v>233</v>
      </c>
      <c r="B52" s="115" t="s">
        <v>225</v>
      </c>
      <c r="C52" s="115" t="s">
        <v>226</v>
      </c>
      <c r="D52" s="115" t="s">
        <v>83</v>
      </c>
      <c r="E52" s="115" t="s">
        <v>84</v>
      </c>
      <c r="F52" s="115" t="s">
        <v>78</v>
      </c>
      <c r="G52" s="115" t="s">
        <v>59</v>
      </c>
    </row>
    <row r="53" spans="1:7" ht="15" thickBot="1">
      <c r="A53" s="115" t="s">
        <v>235</v>
      </c>
      <c r="B53" s="115" t="s">
        <v>225</v>
      </c>
      <c r="C53" s="115" t="s">
        <v>228</v>
      </c>
      <c r="D53" s="115" t="s">
        <v>256</v>
      </c>
      <c r="E53" s="115" t="s">
        <v>55</v>
      </c>
      <c r="F53" s="115" t="s">
        <v>53</v>
      </c>
      <c r="G53" s="115" t="s">
        <v>54</v>
      </c>
    </row>
    <row r="54" spans="1:7" ht="15" thickBot="1">
      <c r="A54" s="115" t="s">
        <v>298</v>
      </c>
      <c r="B54" s="115" t="s">
        <v>225</v>
      </c>
      <c r="C54" s="115" t="s">
        <v>228</v>
      </c>
      <c r="D54" s="115"/>
      <c r="E54" s="115" t="s">
        <v>299</v>
      </c>
      <c r="F54" s="115" t="s">
        <v>300</v>
      </c>
      <c r="G54" s="115" t="s">
        <v>301</v>
      </c>
    </row>
    <row r="55" spans="1:7" ht="15" thickBot="1">
      <c r="A55" s="115" t="s">
        <v>302</v>
      </c>
      <c r="B55" s="115" t="s">
        <v>225</v>
      </c>
      <c r="C55" s="115" t="s">
        <v>228</v>
      </c>
      <c r="D55" s="115"/>
      <c r="E55" s="115" t="s">
        <v>303</v>
      </c>
      <c r="F55" s="115" t="s">
        <v>304</v>
      </c>
      <c r="G55" s="115" t="s">
        <v>305</v>
      </c>
    </row>
    <row r="56" spans="1:7" ht="15" thickBot="1">
      <c r="A56" s="115" t="s">
        <v>236</v>
      </c>
      <c r="B56" s="115" t="s">
        <v>225</v>
      </c>
      <c r="C56" s="115" t="s">
        <v>228</v>
      </c>
      <c r="D56" s="115" t="s">
        <v>306</v>
      </c>
      <c r="E56" s="115" t="s">
        <v>68</v>
      </c>
      <c r="F56" s="115" t="s">
        <v>66</v>
      </c>
      <c r="G56" s="115" t="s">
        <v>67</v>
      </c>
    </row>
    <row r="57" spans="1:7" ht="15" thickBot="1">
      <c r="A57" s="115" t="s">
        <v>237</v>
      </c>
      <c r="B57" s="115" t="s">
        <v>225</v>
      </c>
      <c r="C57" s="115" t="s">
        <v>226</v>
      </c>
      <c r="D57" s="115" t="s">
        <v>257</v>
      </c>
      <c r="E57" s="115" t="s">
        <v>60</v>
      </c>
      <c r="F57" s="115" t="s">
        <v>58</v>
      </c>
      <c r="G57" s="115" t="s">
        <v>59</v>
      </c>
    </row>
    <row r="58" spans="1:7" ht="15" thickBot="1">
      <c r="A58" s="115" t="s">
        <v>238</v>
      </c>
      <c r="B58" s="115" t="s">
        <v>225</v>
      </c>
      <c r="C58" s="115" t="s">
        <v>228</v>
      </c>
      <c r="D58" s="115" t="s">
        <v>104</v>
      </c>
      <c r="E58" s="115" t="s">
        <v>92</v>
      </c>
      <c r="F58" s="115" t="s">
        <v>103</v>
      </c>
      <c r="G58" s="115" t="s">
        <v>79</v>
      </c>
    </row>
    <row r="59" spans="1:7" ht="15" thickBot="1">
      <c r="A59" s="115" t="s">
        <v>307</v>
      </c>
      <c r="B59" s="115" t="s">
        <v>225</v>
      </c>
      <c r="C59" s="115" t="s">
        <v>228</v>
      </c>
      <c r="D59" s="115" t="s">
        <v>308</v>
      </c>
      <c r="E59" s="115" t="s">
        <v>309</v>
      </c>
      <c r="F59" s="115" t="s">
        <v>310</v>
      </c>
      <c r="G59" s="115" t="s">
        <v>293</v>
      </c>
    </row>
    <row r="60" spans="1:7" ht="15" thickBot="1">
      <c r="A60" s="115" t="s">
        <v>311</v>
      </c>
      <c r="B60" s="115" t="s">
        <v>225</v>
      </c>
      <c r="C60" s="115" t="s">
        <v>226</v>
      </c>
      <c r="D60" s="115" t="s">
        <v>240</v>
      </c>
      <c r="E60" s="115" t="s">
        <v>72</v>
      </c>
      <c r="F60" s="115" t="s">
        <v>70</v>
      </c>
      <c r="G60" s="115" t="s">
        <v>71</v>
      </c>
    </row>
    <row r="61" spans="1:7" ht="15" thickBot="1">
      <c r="A61" s="115" t="s">
        <v>241</v>
      </c>
      <c r="B61" s="115" t="s">
        <v>225</v>
      </c>
      <c r="C61" s="115" t="s">
        <v>226</v>
      </c>
      <c r="D61" s="115" t="s">
        <v>108</v>
      </c>
      <c r="E61" s="115" t="s">
        <v>109</v>
      </c>
      <c r="F61" s="115" t="s">
        <v>106</v>
      </c>
      <c r="G61" s="115" t="s">
        <v>107</v>
      </c>
    </row>
    <row r="62" spans="1:7" ht="15" thickBot="1">
      <c r="A62" s="115" t="s">
        <v>242</v>
      </c>
      <c r="B62" s="115" t="s">
        <v>225</v>
      </c>
      <c r="C62" s="115" t="s">
        <v>226</v>
      </c>
      <c r="D62" s="115" t="s">
        <v>113</v>
      </c>
      <c r="E62" s="115" t="s">
        <v>114</v>
      </c>
      <c r="F62" s="115" t="s">
        <v>112</v>
      </c>
      <c r="G62" s="115" t="s">
        <v>67</v>
      </c>
    </row>
    <row r="63" spans="1:7" ht="15" thickBot="1">
      <c r="A63" s="115" t="s">
        <v>244</v>
      </c>
      <c r="B63" s="115" t="s">
        <v>225</v>
      </c>
      <c r="C63" s="115" t="s">
        <v>226</v>
      </c>
      <c r="D63" s="115" t="s">
        <v>80</v>
      </c>
      <c r="E63" s="115" t="s">
        <v>81</v>
      </c>
      <c r="F63" s="115" t="s">
        <v>78</v>
      </c>
      <c r="G63" s="115" t="s">
        <v>63</v>
      </c>
    </row>
    <row r="64" spans="1:7" ht="15" thickBot="1">
      <c r="A64" s="115" t="s">
        <v>244</v>
      </c>
      <c r="B64" s="115" t="s">
        <v>225</v>
      </c>
      <c r="C64" s="115" t="s">
        <v>228</v>
      </c>
      <c r="D64" s="115" t="s">
        <v>102</v>
      </c>
      <c r="E64" s="115" t="s">
        <v>81</v>
      </c>
      <c r="F64" s="115" t="s">
        <v>101</v>
      </c>
      <c r="G64" s="115" t="s">
        <v>79</v>
      </c>
    </row>
    <row r="66" spans="1:7" ht="18">
      <c r="A66" s="139">
        <v>44565</v>
      </c>
    </row>
    <row r="67" spans="1:7">
      <c r="A67" s="140" t="s">
        <v>220</v>
      </c>
      <c r="B67" s="140" t="s">
        <v>221</v>
      </c>
      <c r="C67" s="140" t="s">
        <v>222</v>
      </c>
      <c r="D67" s="140" t="s">
        <v>223</v>
      </c>
      <c r="E67" s="140" t="s">
        <v>123</v>
      </c>
      <c r="F67" s="140" t="s">
        <v>120</v>
      </c>
      <c r="G67" s="140" t="s">
        <v>121</v>
      </c>
    </row>
    <row r="68" spans="1:7">
      <c r="A68" s="141" t="s">
        <v>224</v>
      </c>
      <c r="B68" s="141" t="s">
        <v>225</v>
      </c>
      <c r="C68" s="141" t="s">
        <v>226</v>
      </c>
      <c r="D68" s="141" t="s">
        <v>98</v>
      </c>
      <c r="E68" s="141" t="s">
        <v>99</v>
      </c>
      <c r="F68" s="141" t="s">
        <v>97</v>
      </c>
      <c r="G68" s="141" t="s">
        <v>67</v>
      </c>
    </row>
    <row r="69" spans="1:7">
      <c r="A69" s="141" t="s">
        <v>227</v>
      </c>
      <c r="B69" s="141" t="s">
        <v>225</v>
      </c>
      <c r="C69" s="141" t="s">
        <v>226</v>
      </c>
      <c r="D69" s="141" t="s">
        <v>255</v>
      </c>
      <c r="E69" s="141" t="s">
        <v>64</v>
      </c>
      <c r="F69" s="141" t="s">
        <v>62</v>
      </c>
      <c r="G69" s="141" t="s">
        <v>63</v>
      </c>
    </row>
    <row r="70" spans="1:7">
      <c r="A70" s="141" t="s">
        <v>229</v>
      </c>
      <c r="B70" s="141" t="s">
        <v>225</v>
      </c>
      <c r="C70" s="141" t="s">
        <v>226</v>
      </c>
      <c r="D70" s="141" t="s">
        <v>91</v>
      </c>
      <c r="E70" s="141" t="s">
        <v>92</v>
      </c>
      <c r="F70" s="141" t="s">
        <v>90</v>
      </c>
      <c r="G70" s="141" t="s">
        <v>79</v>
      </c>
    </row>
    <row r="71" spans="1:7">
      <c r="A71" s="141" t="s">
        <v>230</v>
      </c>
      <c r="B71" s="141" t="s">
        <v>225</v>
      </c>
      <c r="C71" s="141" t="s">
        <v>226</v>
      </c>
      <c r="D71" s="141" t="s">
        <v>95</v>
      </c>
      <c r="E71" s="141" t="s">
        <v>92</v>
      </c>
      <c r="F71" s="141" t="s">
        <v>90</v>
      </c>
      <c r="G71" s="141" t="s">
        <v>94</v>
      </c>
    </row>
    <row r="72" spans="1:7">
      <c r="A72" s="141" t="s">
        <v>233</v>
      </c>
      <c r="B72" s="141" t="s">
        <v>225</v>
      </c>
      <c r="C72" s="141" t="s">
        <v>226</v>
      </c>
      <c r="D72" s="141" t="s">
        <v>83</v>
      </c>
      <c r="E72" s="141" t="s">
        <v>84</v>
      </c>
      <c r="F72" s="141" t="s">
        <v>78</v>
      </c>
      <c r="G72" s="141" t="s">
        <v>59</v>
      </c>
    </row>
    <row r="73" spans="1:7">
      <c r="A73" s="141" t="s">
        <v>237</v>
      </c>
      <c r="B73" s="141" t="s">
        <v>225</v>
      </c>
      <c r="C73" s="141" t="s">
        <v>226</v>
      </c>
      <c r="D73" s="141" t="s">
        <v>257</v>
      </c>
      <c r="E73" s="141" t="s">
        <v>60</v>
      </c>
      <c r="F73" s="141" t="s">
        <v>58</v>
      </c>
      <c r="G73" s="141" t="s">
        <v>59</v>
      </c>
    </row>
    <row r="74" spans="1:7">
      <c r="A74" s="141" t="s">
        <v>311</v>
      </c>
      <c r="B74" s="141" t="s">
        <v>225</v>
      </c>
      <c r="C74" s="141" t="s">
        <v>226</v>
      </c>
      <c r="D74" s="141" t="s">
        <v>240</v>
      </c>
      <c r="E74" s="141" t="s">
        <v>72</v>
      </c>
      <c r="F74" s="141" t="s">
        <v>70</v>
      </c>
      <c r="G74" s="141" t="s">
        <v>71</v>
      </c>
    </row>
    <row r="75" spans="1:7">
      <c r="A75" s="141" t="s">
        <v>241</v>
      </c>
      <c r="B75" s="141" t="s">
        <v>225</v>
      </c>
      <c r="C75" s="141" t="s">
        <v>226</v>
      </c>
      <c r="D75" s="141" t="s">
        <v>108</v>
      </c>
      <c r="E75" s="141" t="s">
        <v>109</v>
      </c>
      <c r="F75" s="141" t="s">
        <v>106</v>
      </c>
      <c r="G75" s="141" t="s">
        <v>107</v>
      </c>
    </row>
    <row r="76" spans="1:7">
      <c r="A76" s="141" t="s">
        <v>242</v>
      </c>
      <c r="B76" s="141" t="s">
        <v>225</v>
      </c>
      <c r="C76" s="141" t="s">
        <v>226</v>
      </c>
      <c r="D76" s="141" t="s">
        <v>113</v>
      </c>
      <c r="E76" s="141" t="s">
        <v>114</v>
      </c>
      <c r="F76" s="141" t="s">
        <v>112</v>
      </c>
      <c r="G76" s="141" t="s">
        <v>67</v>
      </c>
    </row>
    <row r="77" spans="1:7">
      <c r="A77" s="141" t="s">
        <v>244</v>
      </c>
      <c r="B77" s="141" t="s">
        <v>225</v>
      </c>
      <c r="C77" s="141" t="s">
        <v>226</v>
      </c>
      <c r="D77" s="141" t="s">
        <v>80</v>
      </c>
      <c r="E77" s="141" t="s">
        <v>81</v>
      </c>
      <c r="F77" s="141" t="s">
        <v>78</v>
      </c>
      <c r="G77" s="141" t="s">
        <v>63</v>
      </c>
    </row>
    <row r="78" spans="1:7">
      <c r="A78" s="141" t="s">
        <v>289</v>
      </c>
      <c r="B78" s="141" t="s">
        <v>225</v>
      </c>
      <c r="C78" s="141" t="s">
        <v>228</v>
      </c>
      <c r="D78" s="141" t="s">
        <v>290</v>
      </c>
      <c r="E78" s="141" t="s">
        <v>291</v>
      </c>
      <c r="F78" s="141" t="s">
        <v>292</v>
      </c>
      <c r="G78" s="141" t="s">
        <v>293</v>
      </c>
    </row>
    <row r="79" spans="1:7">
      <c r="A79" s="141" t="s">
        <v>231</v>
      </c>
      <c r="B79" s="141" t="s">
        <v>225</v>
      </c>
      <c r="C79" s="141" t="s">
        <v>228</v>
      </c>
      <c r="D79" s="141" t="s">
        <v>232</v>
      </c>
      <c r="E79" s="141" t="s">
        <v>76</v>
      </c>
      <c r="F79" s="141" t="s">
        <v>74</v>
      </c>
      <c r="G79" s="141" t="s">
        <v>75</v>
      </c>
    </row>
    <row r="80" spans="1:7">
      <c r="A80" s="141" t="s">
        <v>294</v>
      </c>
      <c r="B80" s="141" t="s">
        <v>225</v>
      </c>
      <c r="C80" s="141" t="s">
        <v>228</v>
      </c>
      <c r="D80" s="141" t="s">
        <v>315</v>
      </c>
      <c r="E80" s="141" t="s">
        <v>295</v>
      </c>
      <c r="F80" s="141" t="s">
        <v>296</v>
      </c>
      <c r="G80" s="141" t="s">
        <v>297</v>
      </c>
    </row>
    <row r="81" spans="1:7">
      <c r="A81" s="141" t="s">
        <v>233</v>
      </c>
      <c r="B81" s="141" t="s">
        <v>225</v>
      </c>
      <c r="C81" s="141" t="s">
        <v>228</v>
      </c>
      <c r="D81" s="141" t="s">
        <v>88</v>
      </c>
      <c r="E81" s="141" t="s">
        <v>84</v>
      </c>
      <c r="F81" s="141" t="s">
        <v>86</v>
      </c>
      <c r="G81" s="141" t="s">
        <v>87</v>
      </c>
    </row>
    <row r="82" spans="1:7">
      <c r="A82" s="141" t="s">
        <v>235</v>
      </c>
      <c r="B82" s="141" t="s">
        <v>225</v>
      </c>
      <c r="C82" s="141" t="s">
        <v>228</v>
      </c>
      <c r="D82" s="141" t="s">
        <v>256</v>
      </c>
      <c r="E82" s="141" t="s">
        <v>55</v>
      </c>
      <c r="F82" s="141" t="s">
        <v>53</v>
      </c>
      <c r="G82" s="141" t="s">
        <v>54</v>
      </c>
    </row>
    <row r="83" spans="1:7">
      <c r="A83" s="141" t="s">
        <v>316</v>
      </c>
      <c r="B83" s="141" t="s">
        <v>225</v>
      </c>
      <c r="C83" s="141" t="s">
        <v>228</v>
      </c>
      <c r="D83" s="141"/>
      <c r="E83" s="141" t="s">
        <v>317</v>
      </c>
      <c r="F83" s="141" t="s">
        <v>318</v>
      </c>
      <c r="G83" s="141" t="s">
        <v>319</v>
      </c>
    </row>
    <row r="84" spans="1:7">
      <c r="A84" s="141" t="s">
        <v>298</v>
      </c>
      <c r="B84" s="141" t="s">
        <v>225</v>
      </c>
      <c r="C84" s="141" t="s">
        <v>228</v>
      </c>
      <c r="D84" s="141"/>
      <c r="E84" s="141" t="s">
        <v>299</v>
      </c>
      <c r="F84" s="141" t="s">
        <v>300</v>
      </c>
      <c r="G84" s="141" t="s">
        <v>301</v>
      </c>
    </row>
    <row r="85" spans="1:7">
      <c r="A85" s="141" t="s">
        <v>302</v>
      </c>
      <c r="B85" s="141" t="s">
        <v>225</v>
      </c>
      <c r="C85" s="141" t="s">
        <v>228</v>
      </c>
      <c r="D85" s="141"/>
      <c r="E85" s="141" t="s">
        <v>303</v>
      </c>
      <c r="F85" s="141" t="s">
        <v>304</v>
      </c>
      <c r="G85" s="141" t="s">
        <v>305</v>
      </c>
    </row>
    <row r="86" spans="1:7">
      <c r="A86" s="141" t="s">
        <v>236</v>
      </c>
      <c r="B86" s="141" t="s">
        <v>225</v>
      </c>
      <c r="C86" s="141" t="s">
        <v>228</v>
      </c>
      <c r="D86" s="141" t="s">
        <v>306</v>
      </c>
      <c r="E86" s="141" t="s">
        <v>68</v>
      </c>
      <c r="F86" s="141" t="s">
        <v>66</v>
      </c>
      <c r="G86" s="141" t="s">
        <v>67</v>
      </c>
    </row>
    <row r="87" spans="1:7">
      <c r="A87" s="141" t="s">
        <v>238</v>
      </c>
      <c r="B87" s="141" t="s">
        <v>225</v>
      </c>
      <c r="C87" s="141" t="s">
        <v>228</v>
      </c>
      <c r="D87" s="141" t="s">
        <v>104</v>
      </c>
      <c r="E87" s="141" t="s">
        <v>92</v>
      </c>
      <c r="F87" s="141" t="s">
        <v>103</v>
      </c>
      <c r="G87" s="141" t="s">
        <v>79</v>
      </c>
    </row>
    <row r="88" spans="1:7">
      <c r="A88" s="141" t="s">
        <v>307</v>
      </c>
      <c r="B88" s="141" t="s">
        <v>225</v>
      </c>
      <c r="C88" s="141" t="s">
        <v>228</v>
      </c>
      <c r="D88" s="141" t="s">
        <v>308</v>
      </c>
      <c r="E88" s="141" t="s">
        <v>309</v>
      </c>
      <c r="F88" s="141" t="s">
        <v>310</v>
      </c>
      <c r="G88" s="141" t="s">
        <v>293</v>
      </c>
    </row>
    <row r="89" spans="1:7">
      <c r="A89" s="141" t="s">
        <v>244</v>
      </c>
      <c r="B89" s="141" t="s">
        <v>225</v>
      </c>
      <c r="C89" s="141" t="s">
        <v>228</v>
      </c>
      <c r="D89" s="141" t="s">
        <v>102</v>
      </c>
      <c r="E89" s="141" t="s">
        <v>81</v>
      </c>
      <c r="F89" s="141" t="s">
        <v>101</v>
      </c>
      <c r="G89" s="141" t="s">
        <v>79</v>
      </c>
    </row>
    <row r="92" spans="1:7" ht="15" thickBot="1">
      <c r="A92" s="121">
        <v>44606</v>
      </c>
    </row>
    <row r="93" spans="1:7" ht="15" thickBot="1">
      <c r="A93" s="148" t="s">
        <v>220</v>
      </c>
      <c r="B93" s="148" t="s">
        <v>221</v>
      </c>
      <c r="C93" s="148" t="s">
        <v>222</v>
      </c>
      <c r="D93" s="148" t="s">
        <v>223</v>
      </c>
      <c r="E93" s="148" t="s">
        <v>123</v>
      </c>
      <c r="F93" s="148" t="s">
        <v>120</v>
      </c>
      <c r="G93" s="148" t="s">
        <v>121</v>
      </c>
    </row>
    <row r="94" spans="1:7" ht="15" thickBot="1">
      <c r="A94" s="149" t="s">
        <v>224</v>
      </c>
      <c r="B94" s="149" t="s">
        <v>225</v>
      </c>
      <c r="C94" s="149" t="s">
        <v>226</v>
      </c>
      <c r="D94" s="149" t="s">
        <v>98</v>
      </c>
      <c r="E94" s="149" t="s">
        <v>99</v>
      </c>
      <c r="F94" s="149" t="s">
        <v>97</v>
      </c>
      <c r="G94" s="149" t="s">
        <v>67</v>
      </c>
    </row>
    <row r="95" spans="1:7" ht="15" thickBot="1">
      <c r="A95" s="149" t="s">
        <v>227</v>
      </c>
      <c r="B95" s="149" t="s">
        <v>225</v>
      </c>
      <c r="C95" s="149" t="s">
        <v>226</v>
      </c>
      <c r="D95" s="149" t="s">
        <v>255</v>
      </c>
      <c r="E95" s="149" t="s">
        <v>64</v>
      </c>
      <c r="F95" s="149" t="s">
        <v>62</v>
      </c>
      <c r="G95" s="149" t="s">
        <v>63</v>
      </c>
    </row>
    <row r="96" spans="1:7" ht="15" thickBot="1">
      <c r="A96" s="149" t="s">
        <v>229</v>
      </c>
      <c r="B96" s="149" t="s">
        <v>225</v>
      </c>
      <c r="C96" s="149" t="s">
        <v>226</v>
      </c>
      <c r="D96" s="149" t="s">
        <v>91</v>
      </c>
      <c r="E96" s="149" t="s">
        <v>92</v>
      </c>
      <c r="F96" s="149" t="s">
        <v>90</v>
      </c>
      <c r="G96" s="149" t="s">
        <v>79</v>
      </c>
    </row>
    <row r="97" spans="1:7" ht="15" thickBot="1">
      <c r="A97" s="149" t="s">
        <v>230</v>
      </c>
      <c r="B97" s="149" t="s">
        <v>225</v>
      </c>
      <c r="C97" s="149" t="s">
        <v>226</v>
      </c>
      <c r="D97" s="149" t="s">
        <v>95</v>
      </c>
      <c r="E97" s="149" t="s">
        <v>92</v>
      </c>
      <c r="F97" s="149" t="s">
        <v>90</v>
      </c>
      <c r="G97" s="149" t="s">
        <v>94</v>
      </c>
    </row>
    <row r="98" spans="1:7" ht="15" thickBot="1">
      <c r="A98" s="149" t="s">
        <v>233</v>
      </c>
      <c r="B98" s="149" t="s">
        <v>225</v>
      </c>
      <c r="C98" s="149" t="s">
        <v>226</v>
      </c>
      <c r="D98" s="149" t="s">
        <v>83</v>
      </c>
      <c r="E98" s="149" t="s">
        <v>84</v>
      </c>
      <c r="F98" s="149" t="s">
        <v>78</v>
      </c>
      <c r="G98" s="149" t="s">
        <v>59</v>
      </c>
    </row>
    <row r="99" spans="1:7" ht="15" thickBot="1">
      <c r="A99" s="149" t="s">
        <v>237</v>
      </c>
      <c r="B99" s="149" t="s">
        <v>225</v>
      </c>
      <c r="C99" s="149" t="s">
        <v>226</v>
      </c>
      <c r="D99" s="149" t="s">
        <v>257</v>
      </c>
      <c r="E99" s="149" t="s">
        <v>60</v>
      </c>
      <c r="F99" s="149" t="s">
        <v>58</v>
      </c>
      <c r="G99" s="149" t="s">
        <v>59</v>
      </c>
    </row>
    <row r="100" spans="1:7" ht="15" thickBot="1">
      <c r="A100" s="149" t="s">
        <v>311</v>
      </c>
      <c r="B100" s="149" t="s">
        <v>225</v>
      </c>
      <c r="C100" s="149" t="s">
        <v>226</v>
      </c>
      <c r="D100" s="149" t="s">
        <v>240</v>
      </c>
      <c r="E100" s="149" t="s">
        <v>72</v>
      </c>
      <c r="F100" s="149" t="s">
        <v>70</v>
      </c>
      <c r="G100" s="149" t="s">
        <v>71</v>
      </c>
    </row>
    <row r="101" spans="1:7" ht="15" thickBot="1">
      <c r="A101" s="149" t="s">
        <v>241</v>
      </c>
      <c r="B101" s="149" t="s">
        <v>225</v>
      </c>
      <c r="C101" s="149" t="s">
        <v>226</v>
      </c>
      <c r="D101" s="149" t="s">
        <v>108</v>
      </c>
      <c r="E101" s="149" t="s">
        <v>109</v>
      </c>
      <c r="F101" s="149" t="s">
        <v>106</v>
      </c>
      <c r="G101" s="149" t="s">
        <v>107</v>
      </c>
    </row>
    <row r="102" spans="1:7" ht="15" thickBot="1">
      <c r="A102" s="149" t="s">
        <v>242</v>
      </c>
      <c r="B102" s="149" t="s">
        <v>225</v>
      </c>
      <c r="C102" s="149" t="s">
        <v>226</v>
      </c>
      <c r="D102" s="149" t="s">
        <v>113</v>
      </c>
      <c r="E102" s="149" t="s">
        <v>114</v>
      </c>
      <c r="F102" s="149" t="s">
        <v>112</v>
      </c>
      <c r="G102" s="149" t="s">
        <v>67</v>
      </c>
    </row>
    <row r="103" spans="1:7" ht="15" thickBot="1">
      <c r="A103" s="149" t="s">
        <v>244</v>
      </c>
      <c r="B103" s="149" t="s">
        <v>225</v>
      </c>
      <c r="C103" s="149" t="s">
        <v>226</v>
      </c>
      <c r="D103" s="149" t="s">
        <v>80</v>
      </c>
      <c r="E103" s="149" t="s">
        <v>81</v>
      </c>
      <c r="F103" s="149" t="s">
        <v>78</v>
      </c>
      <c r="G103" s="149" t="s">
        <v>63</v>
      </c>
    </row>
    <row r="104" spans="1:7" ht="15" thickBot="1">
      <c r="A104" s="149" t="s">
        <v>289</v>
      </c>
      <c r="B104" s="149" t="s">
        <v>225</v>
      </c>
      <c r="C104" s="149" t="s">
        <v>228</v>
      </c>
      <c r="D104" s="149" t="s">
        <v>290</v>
      </c>
      <c r="E104" s="149" t="s">
        <v>291</v>
      </c>
      <c r="F104" s="149" t="s">
        <v>292</v>
      </c>
      <c r="G104" s="149" t="s">
        <v>293</v>
      </c>
    </row>
    <row r="105" spans="1:7" ht="15" thickBot="1">
      <c r="A105" s="149" t="s">
        <v>231</v>
      </c>
      <c r="B105" s="149" t="s">
        <v>225</v>
      </c>
      <c r="C105" s="149" t="s">
        <v>228</v>
      </c>
      <c r="D105" s="149" t="s">
        <v>232</v>
      </c>
      <c r="E105" s="149" t="s">
        <v>76</v>
      </c>
      <c r="F105" s="149" t="s">
        <v>74</v>
      </c>
      <c r="G105" s="149" t="s">
        <v>75</v>
      </c>
    </row>
    <row r="106" spans="1:7" ht="15" thickBot="1">
      <c r="A106" s="149" t="s">
        <v>294</v>
      </c>
      <c r="B106" s="149" t="s">
        <v>225</v>
      </c>
      <c r="C106" s="149" t="s">
        <v>228</v>
      </c>
      <c r="D106" s="149" t="s">
        <v>315</v>
      </c>
      <c r="E106" s="149" t="s">
        <v>295</v>
      </c>
      <c r="F106" s="149" t="s">
        <v>296</v>
      </c>
      <c r="G106" s="149" t="s">
        <v>297</v>
      </c>
    </row>
    <row r="107" spans="1:7" ht="15" thickBot="1">
      <c r="A107" s="149" t="s">
        <v>233</v>
      </c>
      <c r="B107" s="149" t="s">
        <v>225</v>
      </c>
      <c r="C107" s="149" t="s">
        <v>228</v>
      </c>
      <c r="D107" s="149" t="s">
        <v>88</v>
      </c>
      <c r="E107" s="149" t="s">
        <v>84</v>
      </c>
      <c r="F107" s="149" t="s">
        <v>86</v>
      </c>
      <c r="G107" s="149" t="s">
        <v>87</v>
      </c>
    </row>
    <row r="108" spans="1:7" ht="15" thickBot="1">
      <c r="A108" s="149" t="s">
        <v>235</v>
      </c>
      <c r="B108" s="149" t="s">
        <v>225</v>
      </c>
      <c r="C108" s="149" t="s">
        <v>228</v>
      </c>
      <c r="D108" s="149" t="s">
        <v>256</v>
      </c>
      <c r="E108" s="149" t="s">
        <v>55</v>
      </c>
      <c r="F108" s="149" t="s">
        <v>53</v>
      </c>
      <c r="G108" s="149" t="s">
        <v>54</v>
      </c>
    </row>
    <row r="109" spans="1:7" ht="15" thickBot="1">
      <c r="A109" s="149" t="s">
        <v>298</v>
      </c>
      <c r="B109" s="149" t="s">
        <v>225</v>
      </c>
      <c r="C109" s="149" t="s">
        <v>228</v>
      </c>
      <c r="D109" s="149"/>
      <c r="E109" s="149" t="s">
        <v>299</v>
      </c>
      <c r="F109" s="149" t="s">
        <v>300</v>
      </c>
      <c r="G109" s="149" t="s">
        <v>301</v>
      </c>
    </row>
    <row r="110" spans="1:7" ht="15" thickBot="1">
      <c r="A110" s="149" t="s">
        <v>302</v>
      </c>
      <c r="B110" s="149" t="s">
        <v>225</v>
      </c>
      <c r="C110" s="149" t="s">
        <v>228</v>
      </c>
      <c r="D110" s="149" t="s">
        <v>325</v>
      </c>
      <c r="E110" s="149" t="s">
        <v>303</v>
      </c>
      <c r="F110" s="149" t="s">
        <v>304</v>
      </c>
      <c r="G110" s="149" t="s">
        <v>305</v>
      </c>
    </row>
    <row r="111" spans="1:7" ht="15" thickBot="1">
      <c r="A111" s="149" t="s">
        <v>236</v>
      </c>
      <c r="B111" s="149" t="s">
        <v>225</v>
      </c>
      <c r="C111" s="149" t="s">
        <v>228</v>
      </c>
      <c r="D111" s="149" t="s">
        <v>306</v>
      </c>
      <c r="E111" s="149" t="s">
        <v>68</v>
      </c>
      <c r="F111" s="149" t="s">
        <v>66</v>
      </c>
      <c r="G111" s="149" t="s">
        <v>67</v>
      </c>
    </row>
    <row r="112" spans="1:7" ht="15" thickBot="1">
      <c r="A112" s="149" t="s">
        <v>238</v>
      </c>
      <c r="B112" s="149" t="s">
        <v>225</v>
      </c>
      <c r="C112" s="149" t="s">
        <v>228</v>
      </c>
      <c r="D112" s="149" t="s">
        <v>104</v>
      </c>
      <c r="E112" s="149" t="s">
        <v>92</v>
      </c>
      <c r="F112" s="149" t="s">
        <v>103</v>
      </c>
      <c r="G112" s="149" t="s">
        <v>79</v>
      </c>
    </row>
    <row r="113" spans="1:7" ht="15" thickBot="1">
      <c r="A113" s="149" t="s">
        <v>307</v>
      </c>
      <c r="B113" s="149" t="s">
        <v>225</v>
      </c>
      <c r="C113" s="149" t="s">
        <v>228</v>
      </c>
      <c r="D113" s="149" t="s">
        <v>308</v>
      </c>
      <c r="E113" s="149" t="s">
        <v>309</v>
      </c>
      <c r="F113" s="149" t="s">
        <v>310</v>
      </c>
      <c r="G113" s="149" t="s">
        <v>293</v>
      </c>
    </row>
    <row r="114" spans="1:7" ht="15" thickBot="1">
      <c r="A114" s="149" t="s">
        <v>244</v>
      </c>
      <c r="B114" s="149" t="s">
        <v>225</v>
      </c>
      <c r="C114" s="149" t="s">
        <v>228</v>
      </c>
      <c r="D114" s="149" t="s">
        <v>102</v>
      </c>
      <c r="E114" s="149" t="s">
        <v>81</v>
      </c>
      <c r="F114" s="149" t="s">
        <v>101</v>
      </c>
      <c r="G114" s="149" t="s">
        <v>79</v>
      </c>
    </row>
    <row r="115" spans="1:7">
      <c r="A115" s="101" t="s">
        <v>326</v>
      </c>
    </row>
    <row r="116" spans="1:7">
      <c r="A116" s="101" t="s">
        <v>327</v>
      </c>
    </row>
    <row r="117" spans="1:7">
      <c r="A117" s="101" t="s">
        <v>328</v>
      </c>
    </row>
    <row r="118" spans="1:7">
      <c r="A118" s="101" t="s">
        <v>329</v>
      </c>
    </row>
  </sheetData>
  <autoFilter ref="A93:G118">
    <sortState ref="A94:G118">
      <sortCondition ref="C93:C118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14" sqref="A14"/>
    </sheetView>
  </sheetViews>
  <sheetFormatPr baseColWidth="10" defaultRowHeight="14.5"/>
  <cols>
    <col min="1" max="1" width="13" bestFit="1" customWidth="1"/>
    <col min="2" max="2" width="12.1796875" bestFit="1" customWidth="1"/>
  </cols>
  <sheetData>
    <row r="1" spans="1:2" ht="15.5">
      <c r="A1" s="44" t="s">
        <v>6</v>
      </c>
      <c r="B1" s="46" t="s">
        <v>127</v>
      </c>
    </row>
    <row r="2" spans="1:2" ht="15.5">
      <c r="A2" s="2" t="s">
        <v>9</v>
      </c>
      <c r="B2" s="42">
        <v>90</v>
      </c>
    </row>
    <row r="3" spans="1:2" ht="15.5">
      <c r="A3" s="2" t="s">
        <v>10</v>
      </c>
      <c r="B3" s="42">
        <v>90</v>
      </c>
    </row>
    <row r="4" spans="1:2" ht="15.5">
      <c r="A4" s="2" t="s">
        <v>11</v>
      </c>
      <c r="B4" s="42">
        <f>+(3949018)/29000</f>
        <v>136.17303448275862</v>
      </c>
    </row>
    <row r="5" spans="1:2" ht="15.5">
      <c r="A5" s="2" t="s">
        <v>12</v>
      </c>
      <c r="B5" s="42">
        <f>+(738810)/29000+90</f>
        <v>115.47620689655173</v>
      </c>
    </row>
    <row r="6" spans="1:2" ht="15.5">
      <c r="A6" s="2" t="s">
        <v>13</v>
      </c>
      <c r="B6" s="42">
        <v>90</v>
      </c>
    </row>
    <row r="7" spans="1:2" ht="15.5">
      <c r="A7" s="2" t="s">
        <v>47</v>
      </c>
      <c r="B7" s="42">
        <v>90</v>
      </c>
    </row>
    <row r="8" spans="1:2" ht="15.5">
      <c r="A8" s="13" t="s">
        <v>128</v>
      </c>
      <c r="B8" s="49">
        <f>SUM(B2:B7)</f>
        <v>611.6492413793103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5:Y46"/>
  <sheetViews>
    <sheetView topLeftCell="A2" workbookViewId="0">
      <pane xSplit="1" ySplit="4" topLeftCell="B6" activePane="bottomRight" state="frozen"/>
      <selection activeCell="A2" sqref="A2"/>
      <selection pane="topRight" activeCell="C2" sqref="C2"/>
      <selection pane="bottomLeft" activeCell="A3" sqref="A3"/>
      <selection pane="bottomRight" activeCell="B7" sqref="B7"/>
    </sheetView>
  </sheetViews>
  <sheetFormatPr baseColWidth="10" defaultRowHeight="14.5" outlineLevelCol="1"/>
  <cols>
    <col min="1" max="1" width="21.90625" customWidth="1"/>
    <col min="2" max="4" width="7" bestFit="1" customWidth="1"/>
    <col min="5" max="6" width="7" style="146" customWidth="1"/>
    <col min="7" max="7" width="7" bestFit="1" customWidth="1" outlineLevel="1"/>
    <col min="8" max="8" width="6.54296875" bestFit="1" customWidth="1" outlineLevel="1"/>
    <col min="9" max="9" width="6.6328125" customWidth="1" outlineLevel="1"/>
    <col min="10" max="10" width="7" bestFit="1" customWidth="1"/>
    <col min="11" max="11" width="6.90625" customWidth="1"/>
    <col min="12" max="15" width="7" bestFit="1" customWidth="1"/>
    <col min="16" max="18" width="7" style="146" customWidth="1"/>
    <col min="19" max="19" width="7" bestFit="1" customWidth="1"/>
    <col min="20" max="20" width="6.453125" bestFit="1" customWidth="1"/>
    <col min="21" max="21" width="6.08984375" customWidth="1"/>
    <col min="22" max="22" width="4.7265625" customWidth="1" outlineLevel="1"/>
    <col min="23" max="23" width="6.08984375" bestFit="1" customWidth="1"/>
    <col min="24" max="24" width="6.453125" bestFit="1" customWidth="1"/>
    <col min="25" max="25" width="4.7265625" bestFit="1" customWidth="1"/>
  </cols>
  <sheetData>
    <row r="5" spans="1:25" ht="76.5">
      <c r="A5" s="50" t="s">
        <v>129</v>
      </c>
      <c r="B5" s="109" t="s">
        <v>9</v>
      </c>
      <c r="C5" s="109" t="s">
        <v>14</v>
      </c>
      <c r="D5" s="109" t="s">
        <v>21</v>
      </c>
      <c r="E5" s="51"/>
      <c r="F5" s="51"/>
      <c r="G5" s="51" t="s">
        <v>314</v>
      </c>
      <c r="H5" s="51" t="s">
        <v>38</v>
      </c>
      <c r="I5" s="51" t="s">
        <v>19</v>
      </c>
      <c r="J5" s="109" t="s">
        <v>10</v>
      </c>
      <c r="K5" s="109" t="s">
        <v>17</v>
      </c>
      <c r="L5" s="109" t="s">
        <v>15</v>
      </c>
      <c r="M5" s="109" t="s">
        <v>47</v>
      </c>
      <c r="N5" s="109" t="s">
        <v>219</v>
      </c>
      <c r="O5" s="109" t="s">
        <v>46</v>
      </c>
      <c r="P5" s="51" t="s">
        <v>13</v>
      </c>
      <c r="Q5" s="51"/>
      <c r="R5" s="51"/>
      <c r="S5" s="109" t="s">
        <v>218</v>
      </c>
      <c r="T5" s="109" t="s">
        <v>50</v>
      </c>
      <c r="U5" s="109" t="s">
        <v>23</v>
      </c>
      <c r="V5" s="51" t="s">
        <v>22</v>
      </c>
      <c r="W5" s="110" t="s">
        <v>16</v>
      </c>
      <c r="X5" s="110" t="s">
        <v>45</v>
      </c>
      <c r="Y5" s="110" t="s">
        <v>8</v>
      </c>
    </row>
    <row r="6" spans="1:25">
      <c r="A6" s="53" t="s">
        <v>203</v>
      </c>
      <c r="B6" s="130"/>
      <c r="C6" s="22"/>
      <c r="D6" s="96"/>
      <c r="E6" s="143"/>
      <c r="F6" s="143"/>
      <c r="G6" s="122"/>
      <c r="H6" s="96"/>
      <c r="I6" s="130" t="s">
        <v>280</v>
      </c>
      <c r="J6" s="131"/>
      <c r="K6" s="130"/>
      <c r="L6" s="130"/>
      <c r="M6" s="130"/>
      <c r="N6" s="130"/>
      <c r="O6" s="122"/>
      <c r="P6" s="144"/>
      <c r="Q6" s="144"/>
      <c r="R6" s="144"/>
      <c r="S6" s="22"/>
      <c r="T6" s="130"/>
      <c r="U6" s="96"/>
      <c r="V6" s="130"/>
      <c r="W6" s="96"/>
      <c r="X6" s="22"/>
      <c r="Y6" s="96"/>
    </row>
    <row r="7" spans="1:25">
      <c r="A7" s="14" t="s">
        <v>133</v>
      </c>
      <c r="B7" s="130"/>
      <c r="C7" s="131"/>
      <c r="D7" s="130" t="s">
        <v>279</v>
      </c>
      <c r="E7" s="144"/>
      <c r="F7" s="144"/>
      <c r="G7" s="122"/>
      <c r="H7" s="96"/>
      <c r="I7" s="130"/>
      <c r="J7" s="130"/>
      <c r="K7" s="96"/>
      <c r="L7" s="130"/>
      <c r="M7" s="130"/>
      <c r="N7" s="130"/>
      <c r="O7" s="122"/>
      <c r="P7" s="144"/>
      <c r="Q7" s="144"/>
      <c r="R7" s="144"/>
      <c r="S7" s="130"/>
      <c r="T7" s="130"/>
      <c r="U7" s="96"/>
      <c r="V7" s="131"/>
      <c r="W7" s="96"/>
      <c r="X7" s="96"/>
      <c r="Y7" s="96"/>
    </row>
    <row r="8" spans="1:25">
      <c r="A8" s="14" t="s">
        <v>130</v>
      </c>
      <c r="B8" s="131"/>
      <c r="C8" s="131"/>
      <c r="D8" s="131"/>
      <c r="E8" s="144"/>
      <c r="F8" s="144"/>
      <c r="G8" s="122"/>
      <c r="H8" s="96"/>
      <c r="I8" s="131"/>
      <c r="J8" s="131"/>
      <c r="K8" s="96"/>
      <c r="L8" s="130"/>
      <c r="M8" s="131"/>
      <c r="N8" s="96"/>
      <c r="O8" s="122"/>
      <c r="P8" s="144"/>
      <c r="Q8" s="144"/>
      <c r="R8" s="144"/>
      <c r="S8" s="131"/>
      <c r="T8" s="130"/>
      <c r="U8" s="96"/>
      <c r="V8" s="131"/>
      <c r="W8" s="96"/>
      <c r="X8" s="96"/>
      <c r="Y8" s="96"/>
    </row>
    <row r="9" spans="1:25">
      <c r="A9" s="14" t="s">
        <v>131</v>
      </c>
      <c r="B9" s="130"/>
      <c r="C9" s="131"/>
      <c r="D9" s="130"/>
      <c r="E9" s="144"/>
      <c r="F9" s="144"/>
      <c r="G9" s="122"/>
      <c r="H9" s="96"/>
      <c r="I9" s="131"/>
      <c r="J9" s="131"/>
      <c r="K9" s="96"/>
      <c r="L9" s="22" t="s">
        <v>149</v>
      </c>
      <c r="M9" s="130"/>
      <c r="N9" s="96"/>
      <c r="O9" s="131"/>
      <c r="P9" s="144"/>
      <c r="Q9" s="144"/>
      <c r="R9" s="144"/>
      <c r="S9" s="22" t="s">
        <v>149</v>
      </c>
      <c r="T9" s="130"/>
      <c r="U9" s="96"/>
      <c r="V9" s="131"/>
      <c r="W9" s="22" t="s">
        <v>149</v>
      </c>
      <c r="X9" s="96"/>
      <c r="Y9" s="96"/>
    </row>
    <row r="10" spans="1:25">
      <c r="A10" s="14" t="s">
        <v>134</v>
      </c>
      <c r="B10" s="131"/>
      <c r="C10" s="131"/>
      <c r="D10" s="130"/>
      <c r="E10" s="144"/>
      <c r="F10" s="144"/>
      <c r="G10" s="122"/>
      <c r="H10" s="22" t="s">
        <v>149</v>
      </c>
      <c r="I10" s="130"/>
      <c r="J10" s="131"/>
      <c r="K10" s="131"/>
      <c r="L10" s="131"/>
      <c r="M10" s="22"/>
      <c r="N10" s="96"/>
      <c r="O10" s="123"/>
      <c r="P10" s="145"/>
      <c r="Q10" s="145"/>
      <c r="R10" s="145"/>
      <c r="S10" s="97"/>
      <c r="T10" s="130"/>
      <c r="U10" s="96"/>
      <c r="V10" s="123"/>
      <c r="W10" s="96"/>
      <c r="X10" s="96"/>
      <c r="Y10" s="96"/>
    </row>
    <row r="11" spans="1:25">
      <c r="A11" s="14" t="s">
        <v>136</v>
      </c>
      <c r="B11" s="130"/>
      <c r="C11" s="22" t="s">
        <v>149</v>
      </c>
      <c r="D11" s="96"/>
      <c r="E11" s="143"/>
      <c r="F11" s="143"/>
      <c r="G11" s="122"/>
      <c r="H11" s="123"/>
      <c r="I11" s="22" t="s">
        <v>149</v>
      </c>
      <c r="J11" s="131"/>
      <c r="K11" s="96"/>
      <c r="L11" s="97"/>
      <c r="M11" s="137"/>
      <c r="N11" s="96"/>
      <c r="O11" s="131"/>
      <c r="P11" s="144"/>
      <c r="Q11" s="144"/>
      <c r="R11" s="144"/>
      <c r="S11" s="22" t="s">
        <v>149</v>
      </c>
      <c r="T11" s="97"/>
      <c r="U11" s="96"/>
      <c r="V11" s="131"/>
      <c r="W11" s="96"/>
      <c r="X11" s="96"/>
      <c r="Y11" s="96"/>
    </row>
    <row r="12" spans="1:25">
      <c r="A12" s="14" t="s">
        <v>137</v>
      </c>
      <c r="B12" s="22"/>
      <c r="C12" s="96"/>
      <c r="D12" s="22"/>
      <c r="E12" s="144"/>
      <c r="F12" s="144"/>
      <c r="G12" s="120"/>
      <c r="H12" s="22"/>
      <c r="I12" s="96"/>
      <c r="J12" s="131"/>
      <c r="K12" s="131"/>
      <c r="L12" s="96"/>
      <c r="M12" s="130"/>
      <c r="N12" s="22"/>
      <c r="O12" s="122"/>
      <c r="P12" s="144"/>
      <c r="Q12" s="144"/>
      <c r="R12" s="144"/>
      <c r="S12" s="96"/>
      <c r="T12" s="22"/>
      <c r="U12" s="22"/>
      <c r="V12" s="130"/>
      <c r="W12" s="96"/>
      <c r="X12" s="96"/>
      <c r="Y12" s="22"/>
    </row>
    <row r="13" spans="1:25">
      <c r="A13" s="14" t="s">
        <v>139</v>
      </c>
      <c r="B13" s="22"/>
      <c r="C13" s="22" t="s">
        <v>149</v>
      </c>
      <c r="D13" s="130"/>
      <c r="E13" s="143"/>
      <c r="F13" s="143"/>
      <c r="G13" s="120" t="s">
        <v>149</v>
      </c>
      <c r="H13" s="135" t="s">
        <v>149</v>
      </c>
      <c r="I13" s="22" t="s">
        <v>149</v>
      </c>
      <c r="J13" s="131"/>
      <c r="K13" s="131"/>
      <c r="L13" s="22"/>
      <c r="M13" s="137"/>
      <c r="N13" s="22" t="s">
        <v>149</v>
      </c>
      <c r="O13" s="120" t="s">
        <v>149</v>
      </c>
      <c r="P13" s="143"/>
      <c r="Q13" s="143"/>
      <c r="R13" s="143"/>
      <c r="S13" s="96"/>
      <c r="T13" s="22"/>
      <c r="U13" s="22"/>
      <c r="V13" s="22" t="s">
        <v>149</v>
      </c>
      <c r="W13" s="96"/>
      <c r="X13" s="22" t="s">
        <v>149</v>
      </c>
      <c r="Y13" s="22"/>
    </row>
    <row r="14" spans="1:25">
      <c r="A14" s="14" t="s">
        <v>140</v>
      </c>
      <c r="B14" s="131"/>
      <c r="C14" s="22"/>
      <c r="D14" s="96"/>
      <c r="E14" s="143"/>
      <c r="F14" s="143"/>
      <c r="G14" s="122"/>
      <c r="H14" s="123"/>
      <c r="I14" s="22"/>
      <c r="J14" s="131"/>
      <c r="K14" s="22"/>
      <c r="L14" s="22"/>
      <c r="M14" s="22"/>
      <c r="N14" s="22"/>
      <c r="O14" s="122"/>
      <c r="P14" s="144"/>
      <c r="Q14" s="144"/>
      <c r="R14" s="144"/>
      <c r="S14" s="22"/>
      <c r="T14" s="96"/>
      <c r="U14" s="22"/>
      <c r="V14" s="22"/>
      <c r="W14" s="97"/>
      <c r="X14" s="96"/>
      <c r="Y14" s="22"/>
    </row>
    <row r="15" spans="1:25">
      <c r="A15" s="14" t="s">
        <v>141</v>
      </c>
      <c r="B15" s="97"/>
      <c r="C15" s="97"/>
      <c r="D15" s="96"/>
      <c r="E15" s="145"/>
      <c r="F15" s="145"/>
      <c r="G15" s="122"/>
      <c r="H15" s="123"/>
      <c r="I15" s="123"/>
      <c r="J15" s="97"/>
      <c r="K15" s="97"/>
      <c r="L15" s="22"/>
      <c r="M15" s="97"/>
      <c r="N15" s="131"/>
      <c r="O15" s="123"/>
      <c r="P15" s="145"/>
      <c r="Q15" s="145"/>
      <c r="R15" s="145"/>
      <c r="S15" s="97"/>
      <c r="T15" s="97"/>
      <c r="U15" s="96"/>
      <c r="V15" s="123"/>
      <c r="W15" s="96"/>
      <c r="X15" s="96"/>
      <c r="Y15" s="96"/>
    </row>
    <row r="16" spans="1:25">
      <c r="A16" s="14" t="s">
        <v>144</v>
      </c>
      <c r="B16" s="97"/>
      <c r="C16" s="96"/>
      <c r="D16" s="22"/>
      <c r="E16" s="144"/>
      <c r="F16" s="144"/>
      <c r="G16" s="123"/>
      <c r="H16" s="123"/>
      <c r="I16" s="96"/>
      <c r="J16" s="96"/>
      <c r="K16" s="22"/>
      <c r="L16" s="22"/>
      <c r="M16" s="97"/>
      <c r="N16" s="22"/>
      <c r="O16" s="122"/>
      <c r="P16" s="144"/>
      <c r="Q16" s="144"/>
      <c r="R16" s="144"/>
      <c r="S16" s="96"/>
      <c r="T16" s="97"/>
      <c r="U16" s="96"/>
      <c r="V16" s="131"/>
      <c r="W16" s="96"/>
      <c r="X16" s="96"/>
      <c r="Y16" s="22"/>
    </row>
    <row r="17" spans="1:25">
      <c r="A17" s="53" t="s">
        <v>254</v>
      </c>
      <c r="B17" s="22"/>
      <c r="C17" s="22"/>
      <c r="D17" s="22"/>
      <c r="E17" s="143"/>
      <c r="F17" s="143"/>
      <c r="G17" s="120"/>
      <c r="H17" s="22"/>
      <c r="I17" s="123"/>
      <c r="J17" s="22"/>
      <c r="K17" s="22"/>
      <c r="L17" s="22"/>
      <c r="M17" s="97"/>
      <c r="N17" s="22"/>
      <c r="O17" s="22"/>
      <c r="P17" s="143"/>
      <c r="Q17" s="143"/>
      <c r="R17" s="143"/>
      <c r="S17" s="22"/>
      <c r="T17" s="131"/>
      <c r="U17" s="96"/>
      <c r="V17" s="123"/>
      <c r="W17" s="22"/>
      <c r="X17" s="96"/>
      <c r="Y17" s="96"/>
    </row>
    <row r="18" spans="1:25">
      <c r="A18" s="53" t="s">
        <v>205</v>
      </c>
      <c r="B18" s="22"/>
      <c r="C18" s="22"/>
      <c r="D18" s="22" t="s">
        <v>149</v>
      </c>
      <c r="E18" s="143"/>
      <c r="F18" s="143"/>
      <c r="G18" s="120" t="s">
        <v>149</v>
      </c>
      <c r="H18" s="22" t="s">
        <v>149</v>
      </c>
      <c r="I18" s="22"/>
      <c r="J18" s="22" t="s">
        <v>149</v>
      </c>
      <c r="K18" s="22"/>
      <c r="L18" s="22" t="s">
        <v>149</v>
      </c>
      <c r="M18" s="22"/>
      <c r="N18" s="22" t="s">
        <v>149</v>
      </c>
      <c r="O18" s="22"/>
      <c r="P18" s="143"/>
      <c r="Q18" s="143"/>
      <c r="R18" s="143"/>
      <c r="S18" s="22" t="s">
        <v>149</v>
      </c>
      <c r="T18" s="97"/>
      <c r="U18" s="97"/>
      <c r="V18" s="22" t="s">
        <v>149</v>
      </c>
      <c r="W18" s="22"/>
      <c r="X18" s="22"/>
      <c r="Y18" s="22"/>
    </row>
    <row r="19" spans="1:25">
      <c r="A19" s="53" t="s">
        <v>206</v>
      </c>
      <c r="B19" s="22"/>
      <c r="C19" s="97"/>
      <c r="D19" s="22"/>
      <c r="E19" s="145"/>
      <c r="F19" s="145"/>
      <c r="G19" s="120"/>
      <c r="H19" s="22"/>
      <c r="I19" s="123"/>
      <c r="J19" s="22"/>
      <c r="K19" s="131"/>
      <c r="L19" s="97"/>
      <c r="M19" s="97"/>
      <c r="N19" s="131"/>
      <c r="O19" s="122"/>
      <c r="P19" s="144"/>
      <c r="Q19" s="144"/>
      <c r="R19" s="144"/>
      <c r="S19" s="22"/>
      <c r="T19" s="130"/>
      <c r="U19" s="96"/>
      <c r="V19" s="22"/>
      <c r="W19" s="96"/>
      <c r="X19" s="22"/>
      <c r="Y19" s="96"/>
    </row>
    <row r="20" spans="1:25">
      <c r="A20" s="14" t="s">
        <v>136</v>
      </c>
      <c r="B20" s="22"/>
      <c r="C20" s="22"/>
      <c r="D20" s="22"/>
      <c r="E20" s="143"/>
      <c r="F20" s="143"/>
      <c r="G20" s="122"/>
      <c r="H20" s="123"/>
      <c r="I20" s="22" t="s">
        <v>149</v>
      </c>
      <c r="J20" s="22"/>
      <c r="K20" s="22"/>
      <c r="L20" s="22"/>
      <c r="M20" s="22"/>
      <c r="N20" s="22"/>
      <c r="O20" s="22"/>
      <c r="P20" s="143"/>
      <c r="Q20" s="143"/>
      <c r="R20" s="143"/>
      <c r="S20" s="22"/>
      <c r="T20" s="22"/>
      <c r="U20" s="22"/>
      <c r="V20" s="22"/>
      <c r="W20" s="22"/>
      <c r="X20" s="22"/>
      <c r="Y20" s="22"/>
    </row>
    <row r="21" spans="1:25">
      <c r="A21" s="14" t="s">
        <v>132</v>
      </c>
      <c r="B21" s="22"/>
      <c r="C21" s="22" t="s">
        <v>149</v>
      </c>
      <c r="D21" s="22"/>
      <c r="E21" s="143"/>
      <c r="F21" s="143"/>
      <c r="G21" s="120"/>
      <c r="H21" s="22"/>
      <c r="I21" s="22" t="s">
        <v>149</v>
      </c>
      <c r="J21" s="22"/>
      <c r="K21" s="22"/>
      <c r="L21" s="97"/>
      <c r="M21" s="22"/>
      <c r="N21" s="22" t="s">
        <v>149</v>
      </c>
      <c r="O21" s="22"/>
      <c r="P21" s="143"/>
      <c r="Q21" s="143"/>
      <c r="R21" s="143"/>
      <c r="S21" s="22" t="s">
        <v>149</v>
      </c>
      <c r="T21" s="22"/>
      <c r="U21" s="22"/>
      <c r="V21" s="22"/>
      <c r="W21" s="97"/>
      <c r="X21" s="96"/>
      <c r="Y21" s="22"/>
    </row>
    <row r="22" spans="1:25">
      <c r="A22" s="52" t="s">
        <v>135</v>
      </c>
      <c r="B22" s="131"/>
      <c r="C22" s="130"/>
      <c r="D22" s="131"/>
      <c r="E22" s="144"/>
      <c r="F22" s="144"/>
      <c r="G22" s="122"/>
      <c r="H22" s="123"/>
      <c r="I22" s="130"/>
      <c r="J22" s="131"/>
      <c r="K22" s="130"/>
      <c r="L22" s="130"/>
      <c r="M22" s="137"/>
      <c r="N22" s="131"/>
      <c r="O22" s="122"/>
      <c r="P22" s="144"/>
      <c r="Q22" s="144"/>
      <c r="R22" s="144"/>
      <c r="S22" s="130"/>
      <c r="T22" s="130"/>
      <c r="U22" s="96"/>
      <c r="V22" s="130"/>
      <c r="W22" s="96"/>
      <c r="X22" s="96"/>
      <c r="Y22" s="96"/>
    </row>
    <row r="23" spans="1:25">
      <c r="A23" s="52" t="s">
        <v>143</v>
      </c>
      <c r="B23" s="130"/>
      <c r="C23" s="131"/>
      <c r="D23" s="130"/>
      <c r="E23" s="144"/>
      <c r="F23" s="144"/>
      <c r="G23" s="122"/>
      <c r="H23" s="96"/>
      <c r="I23" s="131"/>
      <c r="J23" s="131"/>
      <c r="K23" s="96"/>
      <c r="L23" s="130"/>
      <c r="M23" s="137"/>
      <c r="N23" s="131"/>
      <c r="O23" s="122"/>
      <c r="P23" s="144"/>
      <c r="Q23" s="144"/>
      <c r="R23" s="144"/>
      <c r="S23" s="131"/>
      <c r="T23" s="130"/>
      <c r="U23" s="96"/>
      <c r="V23" s="131"/>
      <c r="W23" s="96"/>
      <c r="X23" s="96"/>
      <c r="Y23" s="96"/>
    </row>
    <row r="24" spans="1:25">
      <c r="A24" s="52" t="s">
        <v>145</v>
      </c>
      <c r="B24" s="130"/>
      <c r="C24" s="131"/>
      <c r="D24" s="131"/>
      <c r="E24" s="144"/>
      <c r="F24" s="144"/>
      <c r="G24" s="122"/>
      <c r="H24" s="96"/>
      <c r="I24" s="96"/>
      <c r="J24" s="131"/>
      <c r="K24" s="131"/>
      <c r="L24" s="131"/>
      <c r="M24" s="137"/>
      <c r="N24" s="96"/>
      <c r="O24" s="22"/>
      <c r="P24" s="143"/>
      <c r="Q24" s="143"/>
      <c r="R24" s="143"/>
      <c r="S24" s="96"/>
      <c r="T24" s="131"/>
      <c r="U24" s="96"/>
      <c r="V24" s="131"/>
      <c r="W24" s="96"/>
      <c r="X24" s="96"/>
      <c r="Y24" s="96"/>
    </row>
    <row r="25" spans="1:25">
      <c r="A25" s="52" t="s">
        <v>147</v>
      </c>
      <c r="B25" s="97"/>
      <c r="C25" s="131"/>
      <c r="D25" s="130"/>
      <c r="E25" s="144"/>
      <c r="F25" s="144"/>
      <c r="G25" s="122"/>
      <c r="H25" s="22"/>
      <c r="I25" s="130"/>
      <c r="J25" s="130"/>
      <c r="K25" s="130"/>
      <c r="L25" s="130"/>
      <c r="M25" s="130"/>
      <c r="N25" s="131"/>
      <c r="O25" s="122"/>
      <c r="P25" s="144"/>
      <c r="Q25" s="144"/>
      <c r="R25" s="144"/>
      <c r="S25" s="96"/>
      <c r="T25" s="130"/>
      <c r="U25" s="96"/>
      <c r="V25" s="131"/>
      <c r="W25" s="96"/>
      <c r="X25" s="96"/>
      <c r="Y25" s="96"/>
    </row>
    <row r="26" spans="1:25">
      <c r="A26" s="52" t="s">
        <v>204</v>
      </c>
      <c r="B26" s="131"/>
      <c r="C26" s="22"/>
      <c r="D26" s="96"/>
      <c r="E26" s="143"/>
      <c r="F26" s="143"/>
      <c r="G26" s="120"/>
      <c r="H26" s="136"/>
      <c r="I26" s="96"/>
      <c r="J26" s="130"/>
      <c r="K26" s="22"/>
      <c r="L26" s="22"/>
      <c r="M26" s="22"/>
      <c r="N26" s="22"/>
      <c r="O26" s="22"/>
      <c r="P26" s="143"/>
      <c r="Q26" s="143"/>
      <c r="R26" s="143"/>
      <c r="S26" s="22"/>
      <c r="T26" s="97"/>
      <c r="U26" s="22"/>
      <c r="V26" s="123"/>
      <c r="W26" s="22"/>
      <c r="X26" s="96"/>
      <c r="Y26" s="22"/>
    </row>
    <row r="27" spans="1:25">
      <c r="A27" s="52" t="s">
        <v>142</v>
      </c>
      <c r="B27" s="97"/>
      <c r="C27" s="131"/>
      <c r="D27" s="96"/>
      <c r="E27" s="144"/>
      <c r="F27" s="144"/>
      <c r="G27" s="122"/>
      <c r="H27" s="123"/>
      <c r="I27" s="131"/>
      <c r="J27" s="97"/>
      <c r="K27" s="131"/>
      <c r="L27" s="96"/>
      <c r="M27" s="130"/>
      <c r="N27" s="130"/>
      <c r="O27" s="22"/>
      <c r="P27" s="143"/>
      <c r="Q27" s="143"/>
      <c r="R27" s="143"/>
      <c r="S27" s="96"/>
      <c r="T27" s="130"/>
      <c r="U27" s="96"/>
      <c r="V27" s="131"/>
      <c r="W27" s="96"/>
      <c r="X27" s="96"/>
      <c r="Y27" s="96"/>
    </row>
    <row r="28" spans="1:25">
      <c r="A28" s="52" t="s">
        <v>138</v>
      </c>
      <c r="B28" s="97"/>
      <c r="C28" s="97"/>
      <c r="D28" s="97"/>
      <c r="E28" s="145"/>
      <c r="F28" s="145"/>
      <c r="G28" s="123"/>
      <c r="H28" s="22"/>
      <c r="I28" s="123"/>
      <c r="J28" s="97"/>
      <c r="K28" s="96"/>
      <c r="L28" s="97"/>
      <c r="M28" s="97"/>
      <c r="N28" s="96"/>
      <c r="O28" s="122"/>
      <c r="P28" s="144"/>
      <c r="Q28" s="144"/>
      <c r="R28" s="144"/>
      <c r="S28" s="97"/>
      <c r="T28" s="97"/>
      <c r="U28" s="97"/>
      <c r="V28" s="98"/>
      <c r="W28" s="96"/>
      <c r="X28" s="96"/>
      <c r="Y28" s="22"/>
    </row>
    <row r="29" spans="1:25">
      <c r="A29" s="52" t="s">
        <v>146</v>
      </c>
      <c r="B29" s="22"/>
      <c r="C29" s="97"/>
      <c r="D29" s="22"/>
      <c r="E29" s="145"/>
      <c r="F29" s="145"/>
      <c r="G29" s="120"/>
      <c r="H29" s="22"/>
      <c r="I29" s="123"/>
      <c r="J29" s="22"/>
      <c r="K29" s="22" t="s">
        <v>149</v>
      </c>
      <c r="L29" s="97"/>
      <c r="M29" s="97"/>
      <c r="N29" s="22" t="s">
        <v>149</v>
      </c>
      <c r="O29" s="22"/>
      <c r="P29" s="143"/>
      <c r="Q29" s="143"/>
      <c r="R29" s="143"/>
      <c r="S29" s="97"/>
      <c r="T29" s="22"/>
      <c r="U29" s="22"/>
      <c r="V29" s="123"/>
      <c r="W29" s="97"/>
      <c r="X29" s="97"/>
      <c r="Y29" s="22"/>
    </row>
    <row r="30" spans="1:25">
      <c r="A30" s="52" t="s">
        <v>148</v>
      </c>
      <c r="B30" s="97"/>
      <c r="C30" s="96"/>
      <c r="D30" s="97"/>
      <c r="E30" s="144"/>
      <c r="F30" s="144"/>
      <c r="G30" s="120"/>
      <c r="H30" s="136"/>
      <c r="I30" s="131"/>
      <c r="J30" s="97"/>
      <c r="K30" s="22"/>
      <c r="L30" s="97"/>
      <c r="M30" s="137"/>
      <c r="N30" s="137"/>
      <c r="O30" s="96"/>
      <c r="P30" s="144"/>
      <c r="Q30" s="144"/>
      <c r="R30" s="144"/>
      <c r="S30" s="96"/>
      <c r="T30" s="96"/>
      <c r="U30" s="96"/>
      <c r="V30" s="131"/>
      <c r="W30" s="22"/>
      <c r="X30" s="97"/>
      <c r="Y30" s="22"/>
    </row>
    <row r="32" spans="1:25">
      <c r="A32" s="89" t="s">
        <v>207</v>
      </c>
      <c r="C32" t="s">
        <v>246</v>
      </c>
      <c r="G32">
        <v>17</v>
      </c>
      <c r="I32">
        <v>2</v>
      </c>
      <c r="N32" t="s">
        <v>207</v>
      </c>
      <c r="O32" t="s">
        <v>207</v>
      </c>
    </row>
    <row r="33" spans="1:25">
      <c r="A33" s="89" t="s">
        <v>320</v>
      </c>
      <c r="G33" s="121">
        <v>44599</v>
      </c>
    </row>
    <row r="34" spans="1:25">
      <c r="A34" s="89" t="s">
        <v>248</v>
      </c>
      <c r="D34" s="91">
        <v>44335</v>
      </c>
      <c r="G34" s="121">
        <v>44518</v>
      </c>
      <c r="H34" s="121">
        <v>44518</v>
      </c>
      <c r="L34" s="91">
        <v>44323</v>
      </c>
      <c r="O34" s="121">
        <v>44392</v>
      </c>
      <c r="P34" s="147"/>
      <c r="Q34" s="147"/>
      <c r="R34" s="147"/>
      <c r="T34" s="121">
        <v>44400</v>
      </c>
    </row>
    <row r="35" spans="1:25">
      <c r="A35" t="s">
        <v>247</v>
      </c>
      <c r="G35" s="121">
        <v>44926</v>
      </c>
      <c r="O35" s="121">
        <v>44442</v>
      </c>
      <c r="P35" s="147"/>
      <c r="Q35" s="147"/>
      <c r="R35" s="147"/>
      <c r="T35" s="121">
        <v>44414</v>
      </c>
      <c r="W35" s="91">
        <v>44376</v>
      </c>
    </row>
    <row r="36" spans="1:25">
      <c r="A36" s="89" t="s">
        <v>253</v>
      </c>
      <c r="B36" s="91">
        <v>44444</v>
      </c>
      <c r="C36" s="117">
        <v>44412</v>
      </c>
      <c r="D36" s="118"/>
      <c r="E36" s="147"/>
      <c r="F36" s="147"/>
      <c r="G36" s="142">
        <v>44680</v>
      </c>
      <c r="J36" s="117">
        <v>44428</v>
      </c>
      <c r="K36" s="118"/>
      <c r="L36" s="91">
        <v>44436</v>
      </c>
      <c r="M36" s="117">
        <v>44414</v>
      </c>
      <c r="S36" s="117">
        <v>44412</v>
      </c>
      <c r="U36" s="91">
        <v>44417</v>
      </c>
      <c r="W36" s="117">
        <v>44405</v>
      </c>
      <c r="X36" s="117">
        <v>44414</v>
      </c>
      <c r="Y36" s="116"/>
    </row>
    <row r="37" spans="1:25">
      <c r="A37" t="s">
        <v>259</v>
      </c>
      <c r="C37" s="121">
        <v>44498</v>
      </c>
      <c r="D37" s="91">
        <v>44454</v>
      </c>
      <c r="E37" s="147"/>
      <c r="F37" s="147"/>
      <c r="J37" s="121">
        <v>44445</v>
      </c>
      <c r="K37" s="121">
        <v>44533</v>
      </c>
      <c r="M37" s="121">
        <f>+M36+30</f>
        <v>44444</v>
      </c>
      <c r="N37" s="121">
        <v>44449</v>
      </c>
      <c r="S37" s="121">
        <v>44454</v>
      </c>
      <c r="T37" s="121">
        <v>44491</v>
      </c>
    </row>
    <row r="38" spans="1:25">
      <c r="A38" t="s">
        <v>268</v>
      </c>
      <c r="B38" s="121">
        <v>44469</v>
      </c>
      <c r="D38" s="121">
        <v>44467</v>
      </c>
      <c r="I38" s="142">
        <v>44638</v>
      </c>
      <c r="J38" s="121">
        <v>44459</v>
      </c>
      <c r="K38" s="142">
        <v>44638</v>
      </c>
      <c r="M38" s="121">
        <v>44473</v>
      </c>
      <c r="O38" s="142">
        <v>44620</v>
      </c>
      <c r="P38" s="142">
        <v>44638</v>
      </c>
      <c r="S38" s="121">
        <v>44512</v>
      </c>
    </row>
    <row r="39" spans="1:25">
      <c r="V39" t="s">
        <v>267</v>
      </c>
    </row>
    <row r="40" spans="1:25">
      <c r="A40" s="121">
        <v>44462</v>
      </c>
      <c r="U40" t="s">
        <v>269</v>
      </c>
    </row>
    <row r="41" spans="1:25">
      <c r="B41" t="s">
        <v>272</v>
      </c>
      <c r="D41" t="s">
        <v>271</v>
      </c>
      <c r="J41" t="s">
        <v>273</v>
      </c>
      <c r="M41" t="s">
        <v>270</v>
      </c>
    </row>
    <row r="42" spans="1:25">
      <c r="J42" t="s">
        <v>274</v>
      </c>
      <c r="K42" t="s">
        <v>312</v>
      </c>
    </row>
    <row r="43" spans="1:25">
      <c r="A43" s="14" t="s">
        <v>313</v>
      </c>
      <c r="B43" s="138">
        <v>44540</v>
      </c>
      <c r="D43" s="121">
        <v>44557</v>
      </c>
      <c r="G43" s="120"/>
      <c r="H43" s="22"/>
      <c r="I43" s="22"/>
      <c r="J43" s="121">
        <v>44545</v>
      </c>
      <c r="M43" s="142">
        <v>44624</v>
      </c>
      <c r="T43" s="121">
        <v>44559</v>
      </c>
      <c r="U43" s="138">
        <v>44550</v>
      </c>
    </row>
    <row r="44" spans="1:25">
      <c r="J44" s="121">
        <v>44558</v>
      </c>
    </row>
    <row r="46" spans="1:25">
      <c r="B46" t="s">
        <v>282</v>
      </c>
      <c r="J46" t="s">
        <v>321</v>
      </c>
      <c r="L46" t="s">
        <v>322</v>
      </c>
      <c r="N46" t="s">
        <v>323</v>
      </c>
      <c r="O46" t="s">
        <v>324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A18" sqref="A18"/>
    </sheetView>
  </sheetViews>
  <sheetFormatPr baseColWidth="10" defaultRowHeight="14.5"/>
  <cols>
    <col min="3" max="3" width="13.7265625" bestFit="1" customWidth="1"/>
  </cols>
  <sheetData>
    <row r="1" spans="1:4">
      <c r="A1" t="s">
        <v>208</v>
      </c>
      <c r="B1" t="s">
        <v>209</v>
      </c>
      <c r="C1" t="s">
        <v>210</v>
      </c>
      <c r="D1" s="91">
        <v>44392</v>
      </c>
    </row>
    <row r="2" spans="1:4">
      <c r="C2" t="s">
        <v>211</v>
      </c>
    </row>
    <row r="4" spans="1:4">
      <c r="A4" t="s">
        <v>212</v>
      </c>
      <c r="B4" t="s">
        <v>214</v>
      </c>
      <c r="C4" t="s">
        <v>215</v>
      </c>
      <c r="D4" t="s">
        <v>216</v>
      </c>
    </row>
    <row r="5" spans="1:4">
      <c r="B5" t="s">
        <v>217</v>
      </c>
    </row>
    <row r="8" spans="1:4">
      <c r="A8" t="s">
        <v>213</v>
      </c>
      <c r="B8" t="s">
        <v>214</v>
      </c>
      <c r="C8" t="s">
        <v>215</v>
      </c>
      <c r="D8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3"/>
  <sheetViews>
    <sheetView topLeftCell="A24" workbookViewId="0">
      <selection activeCell="A25" sqref="A25:G48"/>
    </sheetView>
  </sheetViews>
  <sheetFormatPr baseColWidth="10" defaultRowHeight="14.5"/>
  <cols>
    <col min="1" max="1" width="22.453125" bestFit="1" customWidth="1"/>
    <col min="2" max="2" width="19.81640625" bestFit="1" customWidth="1"/>
    <col min="3" max="3" width="17.7265625" bestFit="1" customWidth="1"/>
    <col min="4" max="4" width="13" bestFit="1" customWidth="1"/>
    <col min="5" max="5" width="20.1796875" bestFit="1" customWidth="1"/>
    <col min="6" max="6" width="13.453125" bestFit="1" customWidth="1"/>
    <col min="7" max="7" width="33.81640625" bestFit="1" customWidth="1"/>
  </cols>
  <sheetData>
    <row r="1" spans="1:7" ht="15" thickBot="1">
      <c r="A1" s="99" t="s">
        <v>220</v>
      </c>
      <c r="B1" s="99" t="s">
        <v>221</v>
      </c>
      <c r="C1" s="99" t="s">
        <v>222</v>
      </c>
      <c r="D1" s="99" t="s">
        <v>223</v>
      </c>
      <c r="E1" s="99" t="s">
        <v>123</v>
      </c>
      <c r="F1" s="99" t="s">
        <v>120</v>
      </c>
      <c r="G1" s="99" t="s">
        <v>121</v>
      </c>
    </row>
    <row r="2" spans="1:7" ht="15" thickBot="1">
      <c r="A2" s="100" t="s">
        <v>224</v>
      </c>
      <c r="B2" s="100" t="s">
        <v>225</v>
      </c>
      <c r="C2" s="100" t="s">
        <v>226</v>
      </c>
      <c r="D2" s="100" t="s">
        <v>98</v>
      </c>
      <c r="E2" s="100" t="s">
        <v>99</v>
      </c>
      <c r="F2" s="100" t="s">
        <v>97</v>
      </c>
      <c r="G2" s="100" t="s">
        <v>67</v>
      </c>
    </row>
    <row r="3" spans="1:7" ht="15" thickBot="1">
      <c r="A3" s="100" t="s">
        <v>227</v>
      </c>
      <c r="B3" s="100" t="s">
        <v>225</v>
      </c>
      <c r="C3" s="100" t="s">
        <v>228</v>
      </c>
      <c r="D3" s="100"/>
      <c r="E3" s="100" t="s">
        <v>64</v>
      </c>
      <c r="F3" s="100" t="s">
        <v>62</v>
      </c>
      <c r="G3" s="100" t="s">
        <v>63</v>
      </c>
    </row>
    <row r="4" spans="1:7" ht="15" thickBot="1">
      <c r="A4" s="100" t="s">
        <v>229</v>
      </c>
      <c r="B4" s="100" t="s">
        <v>225</v>
      </c>
      <c r="C4" s="100" t="s">
        <v>226</v>
      </c>
      <c r="D4" s="100" t="s">
        <v>91</v>
      </c>
      <c r="E4" s="100" t="s">
        <v>92</v>
      </c>
      <c r="F4" s="100" t="s">
        <v>90</v>
      </c>
      <c r="G4" s="100" t="s">
        <v>79</v>
      </c>
    </row>
    <row r="5" spans="1:7" ht="15" thickBot="1">
      <c r="A5" s="100" t="s">
        <v>230</v>
      </c>
      <c r="B5" s="100" t="s">
        <v>225</v>
      </c>
      <c r="C5" s="100" t="s">
        <v>228</v>
      </c>
      <c r="D5" s="100" t="s">
        <v>95</v>
      </c>
      <c r="E5" s="100" t="s">
        <v>92</v>
      </c>
      <c r="F5" s="100" t="s">
        <v>90</v>
      </c>
      <c r="G5" s="100" t="s">
        <v>94</v>
      </c>
    </row>
    <row r="6" spans="1:7" ht="15" thickBot="1">
      <c r="A6" s="100" t="s">
        <v>231</v>
      </c>
      <c r="B6" s="100" t="s">
        <v>225</v>
      </c>
      <c r="C6" s="100" t="s">
        <v>228</v>
      </c>
      <c r="D6" s="100" t="s">
        <v>232</v>
      </c>
      <c r="E6" s="100" t="s">
        <v>76</v>
      </c>
      <c r="F6" s="100" t="s">
        <v>74</v>
      </c>
      <c r="G6" s="100" t="s">
        <v>75</v>
      </c>
    </row>
    <row r="7" spans="1:7" ht="15" thickBot="1">
      <c r="A7" s="100" t="s">
        <v>233</v>
      </c>
      <c r="B7" s="100" t="s">
        <v>225</v>
      </c>
      <c r="C7" s="100" t="s">
        <v>228</v>
      </c>
      <c r="D7" s="100" t="s">
        <v>88</v>
      </c>
      <c r="E7" s="100" t="s">
        <v>84</v>
      </c>
      <c r="F7" s="100" t="s">
        <v>86</v>
      </c>
      <c r="G7" s="100" t="s">
        <v>87</v>
      </c>
    </row>
    <row r="8" spans="1:7" ht="15" thickBot="1">
      <c r="A8" s="100" t="s">
        <v>234</v>
      </c>
      <c r="B8" s="100" t="s">
        <v>225</v>
      </c>
      <c r="C8" s="100" t="s">
        <v>228</v>
      </c>
      <c r="D8" s="100" t="s">
        <v>83</v>
      </c>
      <c r="E8" s="100" t="s">
        <v>84</v>
      </c>
      <c r="F8" s="100" t="s">
        <v>78</v>
      </c>
      <c r="G8" s="100" t="s">
        <v>59</v>
      </c>
    </row>
    <row r="9" spans="1:7" ht="15" thickBot="1">
      <c r="A9" s="100" t="s">
        <v>235</v>
      </c>
      <c r="B9" s="100" t="s">
        <v>225</v>
      </c>
      <c r="C9" s="100" t="s">
        <v>228</v>
      </c>
      <c r="D9" s="100"/>
      <c r="E9" s="100" t="s">
        <v>55</v>
      </c>
      <c r="F9" s="100" t="s">
        <v>53</v>
      </c>
      <c r="G9" s="100" t="s">
        <v>54</v>
      </c>
    </row>
    <row r="10" spans="1:7" ht="15" thickBot="1">
      <c r="A10" s="100" t="s">
        <v>236</v>
      </c>
      <c r="B10" s="100" t="s">
        <v>225</v>
      </c>
      <c r="C10" s="100" t="s">
        <v>228</v>
      </c>
      <c r="D10" s="100"/>
      <c r="E10" s="100" t="s">
        <v>68</v>
      </c>
      <c r="F10" s="100" t="s">
        <v>66</v>
      </c>
      <c r="G10" s="100" t="s">
        <v>67</v>
      </c>
    </row>
    <row r="11" spans="1:7" ht="15" thickBot="1">
      <c r="A11" s="100" t="s">
        <v>237</v>
      </c>
      <c r="B11" s="100" t="s">
        <v>225</v>
      </c>
      <c r="C11" s="100" t="s">
        <v>228</v>
      </c>
      <c r="D11" s="100"/>
      <c r="E11" s="100" t="s">
        <v>60</v>
      </c>
      <c r="F11" s="100" t="s">
        <v>58</v>
      </c>
      <c r="G11" s="100" t="s">
        <v>59</v>
      </c>
    </row>
    <row r="12" spans="1:7" ht="15" thickBot="1">
      <c r="A12" s="100" t="s">
        <v>238</v>
      </c>
      <c r="B12" s="100" t="s">
        <v>225</v>
      </c>
      <c r="C12" s="100" t="s">
        <v>228</v>
      </c>
      <c r="D12" s="100" t="s">
        <v>104</v>
      </c>
      <c r="E12" s="100" t="s">
        <v>92</v>
      </c>
      <c r="F12" s="100" t="s">
        <v>103</v>
      </c>
      <c r="G12" s="100" t="s">
        <v>79</v>
      </c>
    </row>
    <row r="13" spans="1:7" ht="15" thickBot="1">
      <c r="A13" s="100" t="s">
        <v>239</v>
      </c>
      <c r="B13" s="100" t="s">
        <v>225</v>
      </c>
      <c r="C13" s="100" t="s">
        <v>228</v>
      </c>
      <c r="D13" s="100" t="s">
        <v>240</v>
      </c>
      <c r="E13" s="100" t="s">
        <v>72</v>
      </c>
      <c r="F13" s="100" t="s">
        <v>70</v>
      </c>
      <c r="G13" s="100" t="s">
        <v>71</v>
      </c>
    </row>
    <row r="14" spans="1:7" ht="15" thickBot="1">
      <c r="A14" s="100" t="s">
        <v>241</v>
      </c>
      <c r="B14" s="100" t="s">
        <v>225</v>
      </c>
      <c r="C14" s="100" t="s">
        <v>226</v>
      </c>
      <c r="D14" s="100" t="s">
        <v>108</v>
      </c>
      <c r="E14" s="100" t="s">
        <v>109</v>
      </c>
      <c r="F14" s="100" t="s">
        <v>106</v>
      </c>
      <c r="G14" s="100" t="s">
        <v>107</v>
      </c>
    </row>
    <row r="15" spans="1:7" ht="15" thickBot="1">
      <c r="A15" s="100" t="s">
        <v>242</v>
      </c>
      <c r="B15" s="100" t="s">
        <v>225</v>
      </c>
      <c r="C15" s="100" t="s">
        <v>226</v>
      </c>
      <c r="D15" s="100" t="s">
        <v>113</v>
      </c>
      <c r="E15" s="100" t="s">
        <v>114</v>
      </c>
      <c r="F15" s="100" t="s">
        <v>112</v>
      </c>
      <c r="G15" s="100" t="s">
        <v>67</v>
      </c>
    </row>
    <row r="16" spans="1:7" ht="15" thickBot="1">
      <c r="A16" s="100" t="s">
        <v>243</v>
      </c>
      <c r="B16" s="100" t="s">
        <v>225</v>
      </c>
      <c r="C16" s="100" t="s">
        <v>226</v>
      </c>
      <c r="D16" s="100" t="s">
        <v>117</v>
      </c>
      <c r="E16" s="100" t="s">
        <v>118</v>
      </c>
      <c r="F16" s="100" t="s">
        <v>116</v>
      </c>
      <c r="G16" s="100" t="s">
        <v>54</v>
      </c>
    </row>
    <row r="17" spans="1:7" ht="15" thickBot="1">
      <c r="A17" s="100" t="s">
        <v>244</v>
      </c>
      <c r="B17" s="100" t="s">
        <v>225</v>
      </c>
      <c r="C17" s="100" t="s">
        <v>226</v>
      </c>
      <c r="D17" s="100" t="s">
        <v>80</v>
      </c>
      <c r="E17" s="100" t="s">
        <v>81</v>
      </c>
      <c r="F17" s="100" t="s">
        <v>78</v>
      </c>
      <c r="G17" s="100" t="s">
        <v>63</v>
      </c>
    </row>
    <row r="18" spans="1:7" ht="15" thickBot="1">
      <c r="A18" s="100" t="s">
        <v>244</v>
      </c>
      <c r="B18" s="100" t="s">
        <v>225</v>
      </c>
      <c r="C18" s="100" t="s">
        <v>228</v>
      </c>
      <c r="D18" s="100" t="s">
        <v>102</v>
      </c>
      <c r="E18" s="100" t="s">
        <v>81</v>
      </c>
      <c r="F18" s="100" t="s">
        <v>101</v>
      </c>
      <c r="G18" s="100" t="s">
        <v>79</v>
      </c>
    </row>
    <row r="19" spans="1:7">
      <c r="A19" s="101"/>
    </row>
    <row r="20" spans="1:7">
      <c r="A20" s="101"/>
    </row>
    <row r="21" spans="1:7">
      <c r="A21" s="101"/>
    </row>
    <row r="22" spans="1:7">
      <c r="A22" s="101"/>
    </row>
    <row r="23" spans="1:7">
      <c r="A23" s="101"/>
    </row>
    <row r="24" spans="1:7">
      <c r="A24" s="102" t="s">
        <v>245</v>
      </c>
    </row>
    <row r="49" spans="1:1">
      <c r="A49" s="101"/>
    </row>
    <row r="50" spans="1:1">
      <c r="A50" s="101"/>
    </row>
    <row r="51" spans="1:1">
      <c r="A51" s="101"/>
    </row>
    <row r="52" spans="1:1">
      <c r="A52" s="101"/>
    </row>
    <row r="53" spans="1:1">
      <c r="A53" s="101"/>
    </row>
  </sheetData>
  <autoFilter ref="A26:J26">
    <sortState ref="A27:J55">
      <sortCondition ref="C26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D15" sqref="D15"/>
    </sheetView>
  </sheetViews>
  <sheetFormatPr baseColWidth="10" defaultRowHeight="14.5"/>
  <cols>
    <col min="1" max="1" width="13.7265625" bestFit="1" customWidth="1"/>
  </cols>
  <sheetData>
    <row r="1" spans="1:2">
      <c r="A1" s="37"/>
    </row>
    <row r="2" spans="1:2">
      <c r="B2" s="1">
        <v>1.5</v>
      </c>
    </row>
    <row r="3" spans="1:2" ht="15.5">
      <c r="A3" s="44" t="s">
        <v>6</v>
      </c>
      <c r="B3" s="39" t="s">
        <v>44</v>
      </c>
    </row>
    <row r="4" spans="1:2" ht="15.5">
      <c r="A4" s="2" t="s">
        <v>9</v>
      </c>
      <c r="B4" s="4">
        <v>3539.0999999999995</v>
      </c>
    </row>
    <row r="5" spans="1:2" ht="15.5">
      <c r="A5" s="2" t="s">
        <v>10</v>
      </c>
      <c r="B5" s="4">
        <v>2968.0499999999997</v>
      </c>
    </row>
    <row r="6" spans="1:2" ht="15.5">
      <c r="A6" s="2" t="s">
        <v>11</v>
      </c>
      <c r="B6" s="4">
        <v>1057.5</v>
      </c>
    </row>
    <row r="7" spans="1:2" ht="15.5">
      <c r="A7" s="2" t="s">
        <v>13</v>
      </c>
      <c r="B7" s="4">
        <v>3877.5</v>
      </c>
    </row>
    <row r="8" spans="1:2" ht="15.5">
      <c r="A8" s="2" t="s">
        <v>17</v>
      </c>
      <c r="B8" s="4">
        <v>3221.85</v>
      </c>
    </row>
    <row r="9" spans="1:2" ht="15.5">
      <c r="A9" s="2" t="s">
        <v>50</v>
      </c>
      <c r="B9" s="4">
        <v>3764.7</v>
      </c>
    </row>
    <row r="10" spans="1:2" ht="15.5">
      <c r="A10" s="2" t="s">
        <v>14</v>
      </c>
      <c r="B10" s="4">
        <v>3334.65</v>
      </c>
    </row>
    <row r="11" spans="1:2" ht="15.5">
      <c r="A11" s="2" t="s">
        <v>15</v>
      </c>
      <c r="B11" s="4">
        <v>3376.95</v>
      </c>
    </row>
    <row r="12" spans="1:2" ht="15.5">
      <c r="A12" s="2" t="s">
        <v>46</v>
      </c>
      <c r="B12" s="4">
        <v>3877.5</v>
      </c>
    </row>
    <row r="13" spans="1:2" ht="15.5">
      <c r="A13" s="2" t="s">
        <v>218</v>
      </c>
      <c r="B13" s="4">
        <v>3877.5</v>
      </c>
    </row>
    <row r="14" spans="1:2" ht="15.5">
      <c r="A14" s="2" t="s">
        <v>47</v>
      </c>
      <c r="B14" s="4">
        <v>3764.7</v>
      </c>
    </row>
    <row r="15" spans="1:2" ht="15.5">
      <c r="A15" s="2" t="s">
        <v>52</v>
      </c>
      <c r="B15" s="4">
        <v>1057.5</v>
      </c>
    </row>
    <row r="16" spans="1:2" ht="15.5">
      <c r="A16" s="9"/>
      <c r="B16" s="7"/>
    </row>
    <row r="17" spans="1:4" ht="15.5">
      <c r="A17" s="14" t="s">
        <v>252</v>
      </c>
      <c r="B17" s="5">
        <f>SUM(B4:B15)</f>
        <v>37717.5</v>
      </c>
    </row>
    <row r="22" spans="1:4">
      <c r="D22" s="10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sqref="A1:F20"/>
    </sheetView>
  </sheetViews>
  <sheetFormatPr baseColWidth="10" defaultRowHeight="14.5"/>
  <cols>
    <col min="1" max="1" width="18.1796875" bestFit="1" customWidth="1"/>
  </cols>
  <sheetData>
    <row r="1" spans="1:6" ht="59.5">
      <c r="A1" s="50" t="s">
        <v>129</v>
      </c>
      <c r="B1" s="109" t="s">
        <v>9</v>
      </c>
      <c r="C1" s="109" t="s">
        <v>10</v>
      </c>
    </row>
    <row r="2" spans="1:6">
      <c r="A2" s="14" t="s">
        <v>130</v>
      </c>
      <c r="B2" s="131"/>
      <c r="C2" s="130"/>
      <c r="E2" s="130"/>
      <c r="F2" t="s">
        <v>281</v>
      </c>
    </row>
    <row r="3" spans="1:6">
      <c r="A3" s="14" t="s">
        <v>131</v>
      </c>
      <c r="B3" s="130"/>
      <c r="C3" s="130"/>
      <c r="E3" s="131"/>
      <c r="F3" t="s">
        <v>282</v>
      </c>
    </row>
    <row r="4" spans="1:6">
      <c r="A4" s="14" t="s">
        <v>133</v>
      </c>
      <c r="B4" s="130"/>
      <c r="C4" s="130"/>
      <c r="E4" s="123"/>
      <c r="F4" t="s">
        <v>283</v>
      </c>
    </row>
    <row r="5" spans="1:6">
      <c r="A5" s="14" t="s">
        <v>134</v>
      </c>
      <c r="B5" s="131"/>
      <c r="C5" s="130"/>
      <c r="E5" s="122"/>
      <c r="F5" t="s">
        <v>284</v>
      </c>
    </row>
    <row r="6" spans="1:6">
      <c r="A6" s="14" t="s">
        <v>136</v>
      </c>
      <c r="B6" s="130"/>
      <c r="C6" s="131"/>
    </row>
    <row r="7" spans="1:6">
      <c r="A7" s="14" t="s">
        <v>137</v>
      </c>
      <c r="B7" s="120"/>
      <c r="C7" s="131"/>
    </row>
    <row r="8" spans="1:6">
      <c r="A8" s="14" t="s">
        <v>139</v>
      </c>
      <c r="B8" s="120"/>
      <c r="C8" s="130"/>
    </row>
    <row r="9" spans="1:6">
      <c r="A9" s="14" t="s">
        <v>140</v>
      </c>
      <c r="B9" s="131"/>
      <c r="C9" s="131"/>
    </row>
    <row r="10" spans="1:6">
      <c r="A10" s="14" t="s">
        <v>141</v>
      </c>
      <c r="B10" s="123"/>
      <c r="C10" s="123"/>
    </row>
    <row r="11" spans="1:6">
      <c r="A11" s="14" t="s">
        <v>144</v>
      </c>
      <c r="B11" s="123"/>
      <c r="C11" s="122"/>
    </row>
    <row r="12" spans="1:6">
      <c r="A12" s="53" t="s">
        <v>203</v>
      </c>
      <c r="B12" s="130"/>
      <c r="C12" s="130"/>
    </row>
    <row r="13" spans="1:6">
      <c r="A13" s="52" t="s">
        <v>135</v>
      </c>
      <c r="B13" s="131"/>
      <c r="C13" s="130"/>
    </row>
    <row r="14" spans="1:6">
      <c r="A14" s="52" t="s">
        <v>138</v>
      </c>
      <c r="B14" s="123"/>
      <c r="C14" s="123"/>
    </row>
    <row r="15" spans="1:6">
      <c r="A15" s="52" t="s">
        <v>142</v>
      </c>
      <c r="B15" s="123"/>
      <c r="C15" s="123"/>
    </row>
    <row r="16" spans="1:6">
      <c r="A16" s="52" t="s">
        <v>143</v>
      </c>
      <c r="B16" s="130"/>
      <c r="C16" s="130"/>
    </row>
    <row r="17" spans="1:3">
      <c r="A17" s="52" t="s">
        <v>145</v>
      </c>
      <c r="B17" s="130"/>
      <c r="C17" s="130"/>
    </row>
    <row r="18" spans="1:3">
      <c r="A18" s="52" t="s">
        <v>147</v>
      </c>
      <c r="B18" s="123"/>
      <c r="C18" s="130"/>
    </row>
    <row r="19" spans="1:3">
      <c r="A19" s="52" t="s">
        <v>148</v>
      </c>
      <c r="B19" s="123"/>
      <c r="C19" s="123"/>
    </row>
    <row r="20" spans="1:3">
      <c r="A20" s="52" t="s">
        <v>204</v>
      </c>
      <c r="B20" s="131"/>
      <c r="C2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PP1</vt:lpstr>
      <vt:lpstr>PP2</vt:lpstr>
      <vt:lpstr>Detalle Valores</vt:lpstr>
      <vt:lpstr>Minero</vt:lpstr>
      <vt:lpstr>Hoja2</vt:lpstr>
      <vt:lpstr>DIA</vt:lpstr>
      <vt:lpstr>Hoja1</vt:lpstr>
      <vt:lpstr>Hoja3</vt:lpstr>
      <vt:lpstr>Hoja4</vt:lpstr>
      <vt:lpstr>Hoja5</vt:lpstr>
      <vt:lpstr>Hoja6</vt:lpstr>
      <vt:lpstr>'PP1'!Área_de_impresión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cp:lastPrinted>2021-05-03T01:07:38Z</cp:lastPrinted>
  <dcterms:created xsi:type="dcterms:W3CDTF">2021-03-24T19:05:47Z</dcterms:created>
  <dcterms:modified xsi:type="dcterms:W3CDTF">2023-08-06T16:49:16Z</dcterms:modified>
</cp:coreProperties>
</file>